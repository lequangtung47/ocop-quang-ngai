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quang\Desktop\OCOP-Quang-Ngai\"/>
    </mc:Choice>
  </mc:AlternateContent>
  <xr:revisionPtr revIDLastSave="0" documentId="13_ncr:1_{611C57E1-5933-4502-96DF-188ABB1DC0A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hống kê 535" sheetId="1" r:id="rId1"/>
    <sheet name="535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20" i="2" l="1"/>
  <c r="C620" i="2"/>
  <c r="E618" i="2"/>
  <c r="C618" i="2"/>
  <c r="E604" i="2"/>
  <c r="C604" i="2"/>
  <c r="E597" i="2"/>
  <c r="C597" i="2"/>
  <c r="E556" i="2"/>
  <c r="C556" i="2"/>
  <c r="E552" i="2"/>
  <c r="C552" i="2"/>
  <c r="E544" i="2"/>
  <c r="C544" i="2"/>
  <c r="E538" i="2"/>
  <c r="C538" i="2"/>
  <c r="E525" i="2"/>
  <c r="C525" i="2"/>
  <c r="E521" i="2"/>
  <c r="C521" i="2"/>
  <c r="E513" i="2"/>
  <c r="C513" i="2"/>
  <c r="E503" i="2"/>
  <c r="C503" i="2"/>
  <c r="E492" i="2"/>
  <c r="C492" i="2"/>
  <c r="E488" i="2"/>
  <c r="C488" i="2"/>
  <c r="E484" i="2"/>
  <c r="C484" i="2"/>
  <c r="E476" i="2"/>
  <c r="C476" i="2"/>
  <c r="E471" i="2"/>
  <c r="C471" i="2"/>
  <c r="E465" i="2"/>
  <c r="C465" i="2"/>
  <c r="E447" i="2"/>
  <c r="C447" i="2"/>
  <c r="E443" i="2"/>
  <c r="D443" i="2"/>
  <c r="C443" i="2"/>
  <c r="E437" i="2"/>
  <c r="C437" i="2"/>
  <c r="E431" i="2"/>
  <c r="C431" i="2"/>
  <c r="E427" i="2"/>
  <c r="C427" i="2"/>
  <c r="E409" i="2"/>
  <c r="C409" i="2"/>
  <c r="E406" i="2"/>
  <c r="C406" i="2"/>
  <c r="E390" i="2"/>
  <c r="C390" i="2"/>
  <c r="E386" i="2"/>
  <c r="C386" i="2"/>
  <c r="E383" i="2"/>
  <c r="C383" i="2"/>
  <c r="E379" i="2"/>
  <c r="C379" i="2"/>
  <c r="E377" i="2"/>
  <c r="C377" i="2"/>
  <c r="E375" i="2"/>
  <c r="C375" i="2"/>
  <c r="E373" i="2"/>
  <c r="C373" i="2"/>
  <c r="E369" i="2"/>
  <c r="C369" i="2"/>
  <c r="E367" i="2"/>
  <c r="C367" i="2"/>
  <c r="E365" i="2"/>
  <c r="C365" i="2"/>
  <c r="E356" i="2"/>
  <c r="C356" i="2"/>
  <c r="E353" i="2"/>
  <c r="C353" i="2"/>
  <c r="E351" i="2"/>
  <c r="C351" i="2"/>
  <c r="E348" i="2"/>
  <c r="C348" i="2"/>
  <c r="E345" i="2"/>
  <c r="C345" i="2"/>
  <c r="E340" i="2"/>
  <c r="C340" i="2"/>
  <c r="E330" i="2"/>
  <c r="C330" i="2"/>
  <c r="E328" i="2"/>
  <c r="C328" i="2"/>
  <c r="E323" i="2"/>
  <c r="C323" i="2"/>
  <c r="E317" i="2"/>
  <c r="C317" i="2"/>
  <c r="E314" i="2"/>
  <c r="C314" i="2"/>
  <c r="E312" i="2"/>
  <c r="C312" i="2"/>
  <c r="E310" i="2"/>
  <c r="C310" i="2"/>
  <c r="E305" i="2"/>
  <c r="C305" i="2"/>
  <c r="E285" i="2"/>
  <c r="C285" i="2"/>
  <c r="E276" i="2"/>
  <c r="C276" i="2"/>
  <c r="E265" i="2"/>
  <c r="C265" i="2"/>
  <c r="E256" i="2"/>
  <c r="C256" i="2"/>
  <c r="E238" i="2"/>
  <c r="C238" i="2"/>
  <c r="E231" i="2"/>
  <c r="C231" i="2"/>
  <c r="E227" i="2"/>
  <c r="C227" i="2"/>
  <c r="E221" i="2"/>
  <c r="C221" i="2"/>
  <c r="E219" i="2"/>
  <c r="C219" i="2"/>
  <c r="E211" i="2"/>
  <c r="C211" i="2"/>
  <c r="E205" i="2"/>
  <c r="C205" i="2"/>
  <c r="E192" i="2"/>
  <c r="C192" i="2"/>
  <c r="E186" i="2"/>
  <c r="C186" i="2"/>
  <c r="E180" i="2"/>
  <c r="C180" i="2"/>
  <c r="E176" i="2"/>
  <c r="C176" i="2"/>
  <c r="E165" i="2"/>
  <c r="C165" i="2"/>
  <c r="E160" i="2"/>
  <c r="C160" i="2"/>
  <c r="E155" i="2"/>
  <c r="C155" i="2"/>
  <c r="E142" i="2"/>
  <c r="C142" i="2"/>
  <c r="E140" i="2"/>
  <c r="C140" i="2"/>
  <c r="E137" i="2"/>
  <c r="C137" i="2"/>
  <c r="E134" i="2"/>
  <c r="C134" i="2"/>
  <c r="E132" i="2"/>
  <c r="C132" i="2"/>
  <c r="E124" i="2"/>
  <c r="C124" i="2"/>
  <c r="E114" i="2"/>
  <c r="C114" i="2"/>
  <c r="E111" i="2"/>
  <c r="C111" i="2"/>
  <c r="E98" i="2"/>
  <c r="C98" i="2"/>
  <c r="E94" i="2"/>
  <c r="C94" i="2"/>
  <c r="E92" i="2"/>
  <c r="C92" i="2"/>
  <c r="E86" i="2"/>
  <c r="C86" i="2"/>
  <c r="E82" i="2"/>
  <c r="C82" i="2"/>
  <c r="E56" i="2"/>
  <c r="C56" i="2"/>
  <c r="E46" i="2"/>
  <c r="C46" i="2"/>
  <c r="E35" i="2"/>
  <c r="C35" i="2"/>
  <c r="E4" i="2"/>
  <c r="C4" i="2"/>
  <c r="G89" i="1" l="1"/>
  <c r="K88" i="1"/>
  <c r="J88" i="1"/>
  <c r="I88" i="1"/>
  <c r="H88" i="1"/>
  <c r="F88" i="1"/>
  <c r="E88" i="1"/>
  <c r="D88" i="1"/>
  <c r="G87" i="1"/>
  <c r="C87" i="1"/>
  <c r="G86" i="1"/>
  <c r="C86" i="1"/>
  <c r="G85" i="1"/>
  <c r="C85" i="1"/>
  <c r="G84" i="1"/>
  <c r="C84" i="1"/>
  <c r="G83" i="1"/>
  <c r="C83" i="1"/>
  <c r="G82" i="1"/>
  <c r="C82" i="1"/>
  <c r="G81" i="1"/>
  <c r="C81" i="1"/>
  <c r="G80" i="1"/>
  <c r="C80" i="1"/>
  <c r="G79" i="1"/>
  <c r="C79" i="1"/>
  <c r="G78" i="1"/>
  <c r="C78" i="1"/>
  <c r="G77" i="1"/>
  <c r="C77" i="1"/>
  <c r="G76" i="1"/>
  <c r="C76" i="1"/>
  <c r="G75" i="1"/>
  <c r="C75" i="1"/>
  <c r="G74" i="1"/>
  <c r="C74" i="1"/>
  <c r="G73" i="1"/>
  <c r="C73" i="1"/>
  <c r="G72" i="1"/>
  <c r="C72" i="1"/>
  <c r="G71" i="1"/>
  <c r="C71" i="1"/>
  <c r="G70" i="1"/>
  <c r="C70" i="1"/>
  <c r="G69" i="1"/>
  <c r="C69" i="1"/>
  <c r="G68" i="1"/>
  <c r="C68" i="1"/>
  <c r="G67" i="1"/>
  <c r="C67" i="1"/>
  <c r="G66" i="1"/>
  <c r="C66" i="1"/>
  <c r="G65" i="1"/>
  <c r="C65" i="1"/>
  <c r="G64" i="1"/>
  <c r="C64" i="1"/>
  <c r="G63" i="1"/>
  <c r="C63" i="1"/>
  <c r="G62" i="1"/>
  <c r="C62" i="1"/>
  <c r="G61" i="1"/>
  <c r="C61" i="1"/>
  <c r="G60" i="1"/>
  <c r="C60" i="1"/>
  <c r="G59" i="1"/>
  <c r="C59" i="1"/>
  <c r="G58" i="1"/>
  <c r="C58" i="1"/>
  <c r="G57" i="1"/>
  <c r="C57" i="1"/>
  <c r="G56" i="1"/>
  <c r="C56" i="1"/>
  <c r="G55" i="1"/>
  <c r="C55" i="1"/>
  <c r="G54" i="1"/>
  <c r="C54" i="1"/>
  <c r="G53" i="1"/>
  <c r="C53" i="1"/>
  <c r="G52" i="1"/>
  <c r="C52" i="1"/>
  <c r="G51" i="1"/>
  <c r="C51" i="1"/>
  <c r="G50" i="1"/>
  <c r="C50" i="1"/>
  <c r="G49" i="1"/>
  <c r="C49" i="1"/>
  <c r="G48" i="1"/>
  <c r="C48" i="1"/>
  <c r="G47" i="1"/>
  <c r="C47" i="1"/>
  <c r="G46" i="1"/>
  <c r="C46" i="1"/>
  <c r="G45" i="1"/>
  <c r="C45" i="1"/>
  <c r="G44" i="1"/>
  <c r="C44" i="1"/>
  <c r="G43" i="1"/>
  <c r="C43" i="1"/>
  <c r="G42" i="1"/>
  <c r="C42" i="1"/>
  <c r="G41" i="1"/>
  <c r="C41" i="1"/>
  <c r="G40" i="1"/>
  <c r="C40" i="1"/>
  <c r="G39" i="1"/>
  <c r="C39" i="1"/>
  <c r="G38" i="1"/>
  <c r="C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  <c r="G5" i="1"/>
  <c r="C5" i="1"/>
  <c r="G4" i="1"/>
  <c r="G88" i="1" s="1"/>
  <c r="C4" i="1"/>
  <c r="C8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570" authorId="0" shapeId="0" xr:uid="{00000000-0006-0000-0100-000001000000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CẤP HUYỆN ĐÁNH GIÁ 2023</t>
        </r>
      </text>
    </comment>
    <comment ref="B571" authorId="0" shapeId="0" xr:uid="{00000000-0006-0000-0100-000002000000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CẤP HUYỆN ĐÁNH GIÁ 2023</t>
        </r>
      </text>
    </comment>
    <comment ref="B572" authorId="0" shapeId="0" xr:uid="{00000000-0006-0000-0100-000003000000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CẤP HUYỆN ĐÁNH GIÁ 2023</t>
        </r>
      </text>
    </comment>
    <comment ref="B573" authorId="0" shapeId="0" xr:uid="{00000000-0006-0000-0100-000004000000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CẤP HUYỆN ĐÁNH GIÁ 2023</t>
        </r>
      </text>
    </comment>
    <comment ref="B574" authorId="0" shapeId="0" xr:uid="{00000000-0006-0000-0100-000005000000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CẤP HUYỆN ĐÁNH GIÁ 2023</t>
        </r>
      </text>
    </comment>
  </commentList>
</comments>
</file>

<file path=xl/sharedStrings.xml><?xml version="1.0" encoding="utf-8"?>
<sst xmlns="http://schemas.openxmlformats.org/spreadsheetml/2006/main" count="3676" uniqueCount="1484">
  <si>
    <t>BẢNG THỐNG KÊ HOÀN CHỈNH</t>
  </si>
  <si>
    <t>TT</t>
  </si>
  <si>
    <t>Xã/Phường</t>
  </si>
  <si>
    <t>Sản phẩm OCOP (còn hạn)</t>
  </si>
  <si>
    <t>Chủ thể</t>
  </si>
  <si>
    <t>Tổng</t>
  </si>
  <si>
    <t>5 sao</t>
  </si>
  <si>
    <t>4 sao</t>
  </si>
  <si>
    <t>3 sao</t>
  </si>
  <si>
    <t>DN</t>
  </si>
  <si>
    <t>HTX</t>
  </si>
  <si>
    <t>Hộ KD/Cơ sở</t>
  </si>
  <si>
    <t>THT</t>
  </si>
  <si>
    <t>Đặc khu Lý Sơn</t>
  </si>
  <si>
    <t>Phường Trương Quang Trọng</t>
  </si>
  <si>
    <t>Phường Cẩm Thành</t>
  </si>
  <si>
    <t>Phường Nghĩa Lộ</t>
  </si>
  <si>
    <t>Phường Trà Câu</t>
  </si>
  <si>
    <t>Phường Đức Phổ</t>
  </si>
  <si>
    <t>Phường Sa Huỳnh</t>
  </si>
  <si>
    <t>Phường Kon Tum</t>
  </si>
  <si>
    <t>Phường Đăk Cấm</t>
  </si>
  <si>
    <t>Phường Đăk Bla</t>
  </si>
  <si>
    <t>Xã Tịnh Khê</t>
  </si>
  <si>
    <t>Xã An Phú</t>
  </si>
  <si>
    <t>Xã Nguyễn Nghiêm</t>
  </si>
  <si>
    <t>Xã Khánh Cường</t>
  </si>
  <si>
    <t>Xã Bình Minh</t>
  </si>
  <si>
    <t>Xã Bình Chương</t>
  </si>
  <si>
    <t>Xã Bình Sơn</t>
  </si>
  <si>
    <t>Xã Vạn Tường</t>
  </si>
  <si>
    <t>Xã Đông Sơn</t>
  </si>
  <si>
    <t>Xã Trường Giang</t>
  </si>
  <si>
    <t>Xã Ba Gia</t>
  </si>
  <si>
    <t>Xã Sơn Tịnh</t>
  </si>
  <si>
    <t>Xã Thọ Phong</t>
  </si>
  <si>
    <t>Xã Tư Nghĩa</t>
  </si>
  <si>
    <t>Xã Vệ Giang</t>
  </si>
  <si>
    <t>Xã Nghĩa Giang</t>
  </si>
  <si>
    <t>Xã Trà Giang</t>
  </si>
  <si>
    <t>Xã Nghĩa Hành</t>
  </si>
  <si>
    <t>Xã Thiện Tín</t>
  </si>
  <si>
    <t>Xã Phước Giang</t>
  </si>
  <si>
    <t>Xã Long Phụng</t>
  </si>
  <si>
    <t>Xã Mỏ Cày</t>
  </si>
  <si>
    <t>Xã Mộ Đức</t>
  </si>
  <si>
    <t>Xã Lân Phong</t>
  </si>
  <si>
    <t>Xã Trà Bồng</t>
  </si>
  <si>
    <t>Xã Đông Trà Bồng</t>
  </si>
  <si>
    <t>Xã Thanh Bồng</t>
  </si>
  <si>
    <t>Xã Sơn Tây</t>
  </si>
  <si>
    <t>Xã Sơn Linh</t>
  </si>
  <si>
    <t>Xã Sơn Hà</t>
  </si>
  <si>
    <t>Xã Sơn Thủy</t>
  </si>
  <si>
    <t>Xã Sơn Kỳ</t>
  </si>
  <si>
    <t>Xã Sơn Tây Thượng</t>
  </si>
  <si>
    <t>Xã Minh Long</t>
  </si>
  <si>
    <t>Xã Sơn Mai</t>
  </si>
  <si>
    <t>Xã Ba Vì</t>
  </si>
  <si>
    <t>Xã Ba Tô</t>
  </si>
  <si>
    <t>Xã Ba Tơ</t>
  </si>
  <si>
    <t>Xã Ba Động</t>
  </si>
  <si>
    <t>Xã Đặng Thùy Trâm</t>
  </si>
  <si>
    <t>Xã Đăk Long</t>
  </si>
  <si>
    <t>Xã Rờ Kơi</t>
  </si>
  <si>
    <t>Xã Ngọk Bay</t>
  </si>
  <si>
    <t>Xã Ia Chim</t>
  </si>
  <si>
    <t>Xã Đăk Rơ Wa</t>
  </si>
  <si>
    <t>Xã Đăk Mar</t>
  </si>
  <si>
    <t>Xã Đăk Ui</t>
  </si>
  <si>
    <t>Xã Ngọk Réo</t>
  </si>
  <si>
    <t>Xã Đăk Hà</t>
  </si>
  <si>
    <t>Xã Ngọk Tụ</t>
  </si>
  <si>
    <t>Xã Đăk Tô</t>
  </si>
  <si>
    <t>Xã Kon Đào</t>
  </si>
  <si>
    <t>Xã Đăk Sao</t>
  </si>
  <si>
    <t>Xã Đăk Tờ Kan</t>
  </si>
  <si>
    <t>Xã Tu Mơ Rông</t>
  </si>
  <si>
    <t>Xã Măng Ri</t>
  </si>
  <si>
    <t>Xã Bờ Y</t>
  </si>
  <si>
    <t>Xã Sa Loong</t>
  </si>
  <si>
    <t>Xã Dục Nông</t>
  </si>
  <si>
    <t>Xã Xốp</t>
  </si>
  <si>
    <t>Xã Đăk Plô</t>
  </si>
  <si>
    <t>Xã Đăk Pek</t>
  </si>
  <si>
    <t>Xã Sa Thầy</t>
  </si>
  <si>
    <t>Xã Sa Bình</t>
  </si>
  <si>
    <t>Xã Ya Ly</t>
  </si>
  <si>
    <t>Xã Ia Tơi</t>
  </si>
  <si>
    <t>Xã Đăk Kôi</t>
  </si>
  <si>
    <t>Xã Kon Braih</t>
  </si>
  <si>
    <t>Xã Đăk Rve</t>
  </si>
  <si>
    <t>Xã Măng Đen</t>
  </si>
  <si>
    <t>Xã Măng Bút</t>
  </si>
  <si>
    <t>Xã Kon Plông</t>
  </si>
  <si>
    <t>Xã Sơn Hạ</t>
  </si>
  <si>
    <t>Xã Ngọc Linh</t>
  </si>
  <si>
    <t>TỔNG CỘNG</t>
  </si>
  <si>
    <t>Tên sản phẩm</t>
  </si>
  <si>
    <t>Tên đơn vị/chủ thể sản xuất</t>
  </si>
  <si>
    <t>Người đại diện pháp luật của đơn vị</t>
  </si>
  <si>
    <t>Đạt hạng sao</t>
  </si>
  <si>
    <t>Số QĐ ban hành</t>
  </si>
  <si>
    <t xml:space="preserve">Nhóm sản phẩm </t>
  </si>
  <si>
    <t>Thị trường 
tiêu thụ</t>
  </si>
  <si>
    <t>(1)</t>
  </si>
  <si>
    <t>Đặc khu Lý Sơn (30 sp)</t>
  </si>
  <si>
    <t>Tỏi đen nhiều nhánh</t>
  </si>
  <si>
    <t>Công ty TNHH Thương mại và dịch vụ Phú Sinh</t>
  </si>
  <si>
    <t>Nguyễn Văn Nhật
0338791388</t>
  </si>
  <si>
    <t xml:space="preserve">1898/QĐ-UBND ngày 29/12/2025 của UBND tỉnh </t>
  </si>
  <si>
    <t>Thực phẩm</t>
  </si>
  <si>
    <t>Nội địa</t>
  </si>
  <si>
    <t>Tỏi đen cô đơn</t>
  </si>
  <si>
    <t xml:space="preserve">1425/QĐ-UBND ngày 25/12/2023 của UBND tỉnh </t>
  </si>
  <si>
    <t xml:space="preserve">Tỏi Lý Sơn </t>
  </si>
  <si>
    <t>2361/QĐ-BNNMT ngày 26/6/2025 của Bộ Nông nghiệp và Môi trường</t>
  </si>
  <si>
    <t>Cao Tỏi đen</t>
  </si>
  <si>
    <t>1242/QĐ-UBND ngày 14/10/2025 của Chủ tịch UBND tỉnh</t>
  </si>
  <si>
    <t>Rượu tỏi đen Thanh Thuý</t>
  </si>
  <si>
    <t>Cơ sở sản xuất kinh doanh và chế biến hành, tỏi Lý Sơn Thanh Thuý</t>
  </si>
  <si>
    <t>Phan Thị Thanh Thuý
0973422294</t>
  </si>
  <si>
    <t xml:space="preserve">1533/QĐ-UBND ngày 25/11/2023 của UBND huyện Lý Sơn </t>
  </si>
  <si>
    <t>Hành tím Lý Sơn</t>
  </si>
  <si>
    <t>772/QĐ-UBND ngày 05/6/2025 của UBND huyện Lý Sơn</t>
  </si>
  <si>
    <t>Dầu phộng Bích Phượng</t>
  </si>
  <si>
    <t>Hộ Kinh doanh Bích Phượng</t>
  </si>
  <si>
    <t>Đinh Thị Bích Phượng
0988175754- 0839173515</t>
  </si>
  <si>
    <t>Tỏi Lý Sơn Bích Phượng</t>
  </si>
  <si>
    <t>Tỏi Lý Sơn Dori</t>
  </si>
  <si>
    <t>Công ty cổ phần Dori</t>
  </si>
  <si>
    <t>Phạm Văn Công
0974658828</t>
  </si>
  <si>
    <t>Tỏi đen Lý Sơn Dori</t>
  </si>
  <si>
    <t>Bột tỏi Lý Sơn Dori</t>
  </si>
  <si>
    <t>1331/QĐ-UBND ngày 27/11/2024 của UBND huyện Lý Sơn</t>
  </si>
  <si>
    <t>Hành tím Lý Sơn Dori</t>
  </si>
  <si>
    <t>Tỏi Lý Sơn ngâm mật ong</t>
  </si>
  <si>
    <t xml:space="preserve">838/QĐ-UBND ngày 31/12/2024 của UBND tỉnh </t>
  </si>
  <si>
    <t>Bột hành Lý Sơn Dori</t>
  </si>
  <si>
    <t>Hành Lý Sơn ngâm chua Dori</t>
  </si>
  <si>
    <t>Tỏi Lý Sơn ngâm chua Dori</t>
  </si>
  <si>
    <t>Siro Tỏi Lý Sơn</t>
  </si>
  <si>
    <t>Tỏi đen Lý Sơn</t>
  </si>
  <si>
    <t>Công ty TNHH khoan học và công nghệ Nông Tín</t>
  </si>
  <si>
    <t>Nguyễn Văn Tấn
0905232718
0905576755</t>
  </si>
  <si>
    <t>Paste tỏi Lý Sơn</t>
  </si>
  <si>
    <t>Rượu tỏi đen Lý Sơn</t>
  </si>
  <si>
    <t>Đồ uống</t>
  </si>
  <si>
    <t>Nước uống tỏi đen mật ong</t>
  </si>
  <si>
    <t>Bột tỏi Lý Sơn sấy lạnh</t>
  </si>
  <si>
    <t>Tỏi Lý Sơn</t>
  </si>
  <si>
    <t>Rong biển xà lách OLVIS</t>
  </si>
  <si>
    <t xml:space="preserve">Công ty TNHH OLVIS VIỆT NAM
</t>
  </si>
  <si>
    <t>Ngô Hoài Phương</t>
  </si>
  <si>
    <t>Tỏi mật ong OLVIS</t>
  </si>
  <si>
    <t>Tỏi đen OLVIS</t>
  </si>
  <si>
    <t>Tỏi Lý Sơn OLVIS</t>
  </si>
  <si>
    <t>Hành tím OLVIS</t>
  </si>
  <si>
    <t>Chả cá đỏ củ</t>
  </si>
  <si>
    <t xml:space="preserve">Công ty CP TMDVDL Lý Sơn </t>
  </si>
  <si>
    <t>Nguyễn Văn Dư</t>
  </si>
  <si>
    <t>(2)</t>
  </si>
  <si>
    <t>Phường Trương Quang Trọng (10 sp)</t>
  </si>
  <si>
    <t>Bánh tráng Nhật Linh</t>
  </si>
  <si>
    <t>Hộ kinh doanh Bánh tráng Nhật Linh</t>
  </si>
  <si>
    <t>Nguyễn Văn Quang
0914 061 369</t>
  </si>
  <si>
    <t xml:space="preserve">73/QĐ-UBND ngày 11/01/2024 của UBND TP Quảng Ngãi </t>
  </si>
  <si>
    <t>Chả lụa Thịnh Thúy</t>
  </si>
  <si>
    <t>Hộ kinh doanh cơ sở Nem chả Thịnh Thúy</t>
  </si>
  <si>
    <t>Vy Văn Thịnh
0908516823</t>
  </si>
  <si>
    <t xml:space="preserve">888/QĐ-UBND ngày 20/3/2025 của UBND TP Quảng Ngãi </t>
  </si>
  <si>
    <t>Chả bò Thịnh Thúy</t>
  </si>
  <si>
    <t>Bò khô Khánh Hưng</t>
  </si>
  <si>
    <t>Hộ kinh doanh Khánh Hưng</t>
  </si>
  <si>
    <t>Nguyễn Thị Tố Quyên
0945 521 199</t>
  </si>
  <si>
    <t xml:space="preserve">2351/QĐ-UBND ngày 21/5/2025
 của UBND TP Quảng Ngãi </t>
  </si>
  <si>
    <t>Lạp xưởng Gia Định</t>
  </si>
  <si>
    <t>Hộ kinh doanh Gia Định</t>
  </si>
  <si>
    <t>Liên Thị Bích Ly
0963 613 839</t>
  </si>
  <si>
    <t>Xúc xích bò Gia Định</t>
  </si>
  <si>
    <t>Chả lụa Gia Định</t>
  </si>
  <si>
    <t>Cá bống sông Trà Anh Bảo</t>
  </si>
  <si>
    <t>Hộ kinh doanh cá bống  sông Trà Anh Bảo</t>
  </si>
  <si>
    <t>Phạm Văn Anh
0985949414</t>
  </si>
  <si>
    <t>Bánh phục linh Quốc Quỳnh</t>
  </si>
  <si>
    <t>Cơ sở sản xuất bánh Quốc Quỳnh</t>
  </si>
  <si>
    <t>Bùi Tấn Anh
0973505341</t>
  </si>
  <si>
    <t xml:space="preserve">4270/QĐ-UBND ngày 21/9/2023 của UBND TP Quảng Ngãi </t>
  </si>
  <si>
    <t>Bánh đậu xanh Quốc Quỳnh</t>
  </si>
  <si>
    <t>(3)</t>
  </si>
  <si>
    <t>Phường Cẩm Thành (9sp)</t>
  </si>
  <si>
    <t>Kẹo Gương Kim Ngọc</t>
  </si>
  <si>
    <t>Hộ kinh doanh Kẹo gương Kim Ngọc</t>
  </si>
  <si>
    <t>Lê Văn Tưởng
0932531469</t>
  </si>
  <si>
    <t xml:space="preserve">2423/QĐ-UBND ngày 30/5/2023 của UBND TP Quảng Ngãi </t>
  </si>
  <si>
    <t>Bánh đậu xanh nướng Tam Bảo</t>
  </si>
  <si>
    <t>Công ty TNHH MTV Nhật Liên</t>
  </si>
  <si>
    <t xml:space="preserve">Nguyễn Thị Linh Hương
0914087995 
</t>
  </si>
  <si>
    <t>Bò khô Cẩm Thạch</t>
  </si>
  <si>
    <t>Cơ sở sản xuất chế biến thực phẩm Cẩm Thạch</t>
  </si>
  <si>
    <t>Thái Thị Cẩm Thạch
0935 822 054</t>
  </si>
  <si>
    <t>Bò khô Mr.Vic</t>
  </si>
  <si>
    <t>Hộ kinh doanh Mr.Vic</t>
  </si>
  <si>
    <t>Bạch Ngọc Vũ Huy
0945 290 989</t>
  </si>
  <si>
    <t>Tổ yến thô Huy Hòa</t>
  </si>
  <si>
    <t>Hộ kinh doanh Yến sào Huy Hòa-Khách sạn Lavie</t>
  </si>
  <si>
    <t>Võ Thị Bích Trang
0983 215 379</t>
  </si>
  <si>
    <t>Tổ yến tinh chế Huy Hòa</t>
  </si>
  <si>
    <t>Đường phổi bi Dung Cẩm</t>
  </si>
  <si>
    <t>Hộ kinh doanh Nguyễn Thị Dung</t>
  </si>
  <si>
    <t>Nguyễn Thị Dung
0912076241</t>
  </si>
  <si>
    <t>Đường phèn Dung Cẩm</t>
  </si>
  <si>
    <t xml:space="preserve">Thịt bò khô Thu Ba </t>
  </si>
  <si>
    <t>Công ty TNHH sản xuất và thương mại Thu Ba</t>
  </si>
  <si>
    <t>Lê Nhất Vũ
0908826798</t>
  </si>
  <si>
    <t>(4)</t>
  </si>
  <si>
    <t>Phường Nghĩa Lộ (25 sp)</t>
  </si>
  <si>
    <t>Yến rút lông nguyên tổ Culaore</t>
  </si>
  <si>
    <t>Hộ kinh doanh Yến sào Cù Lao Ré</t>
  </si>
  <si>
    <t>Phan Thanh Tùng
0934981179
culaore.com.vn</t>
  </si>
  <si>
    <t>Yến thô cao cấp Culaore</t>
  </si>
  <si>
    <t>Yến tinh chế cao cấp Culaore</t>
  </si>
  <si>
    <t>Yến tinh chế sợi - Định hình A5 Culaore</t>
  </si>
  <si>
    <t>Yến hũ chưng vị đông trùng hạ thảo Culaore</t>
  </si>
  <si>
    <t xml:space="preserve">6328/QĐ-UBND ngày 31/12/2024 của UBND TP Quảng Ngãi </t>
  </si>
  <si>
    <t xml:space="preserve">Yến hũ chưng vị gừng Culaore </t>
  </si>
  <si>
    <t>Yến hũ chưng đủ vị Culaore</t>
  </si>
  <si>
    <t xml:space="preserve">Đường phèn Tuyết Hường </t>
  </si>
  <si>
    <t>Hộ kinh doanh Lê Thanh Hường</t>
  </si>
  <si>
    <t>Lê Thanh Hường
0943082480</t>
  </si>
  <si>
    <t>Đường phổi Tuyết Hường</t>
  </si>
  <si>
    <t>Mạch nha Quảng Ngãi đường Mantoza</t>
  </si>
  <si>
    <t>Nhà máy Nha Quảng Ngãi – Chi nhánh Công ty Cổ phần Đường Quảng Ngãi</t>
  </si>
  <si>
    <t>Nguyễn Thuận
0914009916</t>
  </si>
  <si>
    <t xml:space="preserve">Cơm cháy chà bông rong biển Thảo Uyên </t>
  </si>
  <si>
    <t>Hộ kinh doanh Thảo Uyên</t>
  </si>
  <si>
    <t>Tạ Thị Thảo Yên
 0905 442 518</t>
  </si>
  <si>
    <t>Chà bông Thảo Uyên</t>
  </si>
  <si>
    <t>Mắm nêm Ome</t>
  </si>
  <si>
    <t>Công ty TNHH MTV xuất nhập khẩu thủy sản Hải Phú</t>
  </si>
  <si>
    <t>Đỗ Thị Sáu
 0913 491 118</t>
  </si>
  <si>
    <t xml:space="preserve">Sốt chấm vị thái </t>
  </si>
  <si>
    <t>Sốt ướp OME BBQ</t>
  </si>
  <si>
    <t xml:space="preserve">Nước mắm nhĩ Ome Sa Huỳnh </t>
  </si>
  <si>
    <t>Sốt chấm hải sản</t>
  </si>
  <si>
    <t>Mật ong sạch NANI</t>
  </si>
  <si>
    <t>Doanh nghiệp Tư nhân NaNi</t>
  </si>
  <si>
    <t>Lương Hữu Đoàn
0914 166 925</t>
  </si>
  <si>
    <t>Kẹo gương Phước Yến</t>
  </si>
  <si>
    <t>Cơ sở sản xuất kinh doanh Thương mại thực phẩm đặc sản Phước Yến</t>
  </si>
  <si>
    <t>Ngô Thị Thu Hoa
0914020781</t>
  </si>
  <si>
    <t xml:space="preserve">2808/QĐ-UBND ngày 16/7/2024 của UBND TP Quảng Ngãi </t>
  </si>
  <si>
    <t>Chả bò Hồng Vân</t>
  </si>
  <si>
    <t>Công ty TNHH Sản xuất thực phẩm Hồng Vân</t>
  </si>
  <si>
    <t>Nguyễn Hồng
0947488895
0914304507</t>
  </si>
  <si>
    <t>Chả bò gân ớt xiêm Hồng Vân</t>
  </si>
  <si>
    <t>Bánh mì xốp</t>
  </si>
  <si>
    <t xml:space="preserve">Hiệu bánh mì xốp 
Phương Lan
</t>
  </si>
  <si>
    <t>Trần Thị Tuấn
0387540669</t>
  </si>
  <si>
    <t>Cốm rang Hoàng Huy</t>
  </si>
  <si>
    <t>Cơ sở sản xuất cốm rang Hoàng Huy</t>
  </si>
  <si>
    <t>Nguyễn Hoàng Ngân
0935 856 416; 
0905 042 415</t>
  </si>
  <si>
    <t>Rượu lứt Ấn Trà</t>
  </si>
  <si>
    <t>Công ty TNHH 
Nông lâm nghiệp TBT</t>
  </si>
  <si>
    <t>Lê Thị Hồng Vân
0905493937</t>
  </si>
  <si>
    <t>Cá bống Sông Trà Dũng Cây Gòn</t>
  </si>
  <si>
    <t>Hộ kinh doanh Quán ăn Dũng Cây Gòn</t>
  </si>
  <si>
    <t>Mai Thị Tuyết
 0905 365 522</t>
  </si>
  <si>
    <t>(5)</t>
  </si>
  <si>
    <t>Phường Trà Câu (3 sp)</t>
  </si>
  <si>
    <t>Nước mắm Mỹ Á</t>
  </si>
  <si>
    <t>Công ty TNHH MTV thu mua thủy hải sản Trang Hùng</t>
  </si>
  <si>
    <t>Lê Thị Thuỳ Trang
0988240145</t>
  </si>
  <si>
    <t xml:space="preserve">8200/QĐ-UBND ngày 28/12/2023 của UBND  thị xã Đức Phổ </t>
  </si>
  <si>
    <t>Nấm bào ngư (xám)</t>
  </si>
  <si>
    <t>Hộ kinh doanh Trại nấm Kiên Kha</t>
  </si>
  <si>
    <t>Hồ Thị Lên
0334218654</t>
  </si>
  <si>
    <t xml:space="preserve">4641/QĐ-UBND ngày 26/12/2024 của UBND thị xã Đức Phổ </t>
  </si>
  <si>
    <t>Khô gà</t>
  </si>
  <si>
    <t>Công ty TNHH SX TM NANI</t>
  </si>
  <si>
    <t>Trần Quốc Việt
0912586038</t>
  </si>
  <si>
    <t>(6)</t>
  </si>
  <si>
    <t>Phường Đức Phổ (5 sp)</t>
  </si>
  <si>
    <t>Cơm rang</t>
  </si>
  <si>
    <t>Hộ Kinh doanh Bếp Mộc</t>
  </si>
  <si>
    <t>Đỗ Thị Tuyết Hà
0977977167</t>
  </si>
  <si>
    <t>Chả bò 2 Miền</t>
  </si>
  <si>
    <t>Hộ kinh doanh Hai Miền</t>
  </si>
  <si>
    <t>Phạm Miền
0979341674</t>
  </si>
  <si>
    <t>Chả heo 2 Miền</t>
  </si>
  <si>
    <t>Tinh bột nghệ Bốn Vân</t>
  </si>
  <si>
    <t>Hợp tác xã sản xuất và kinh doanh hàng nông sản Bốn Vân</t>
  </si>
  <si>
    <t>Huỳnh Ngọc Khá
0985342456</t>
  </si>
  <si>
    <t>Bánh Tinh bột nghệ</t>
  </si>
  <si>
    <t>(7)</t>
  </si>
  <si>
    <t>Phường Sa Huỳnh (4 sp)</t>
  </si>
  <si>
    <t>Hoa muối</t>
  </si>
  <si>
    <t>Công ty TNHH MTV Muối SAHU</t>
  </si>
  <si>
    <t>Phạm Thị Hồng Thắm
0917010408</t>
  </si>
  <si>
    <t>(8)</t>
  </si>
  <si>
    <t>Phường Kon Tum (3 sp)</t>
  </si>
  <si>
    <t>SNACK Hồng Đẳng Sâm</t>
  </si>
  <si>
    <t>Hợp tác xã sản xuất nông sản dược liệu Highland Rhum</t>
  </si>
  <si>
    <t>Phạm Duy Tuyên
0935575116</t>
  </si>
  <si>
    <t>số 2148/QĐ-UBND
 ngày 13/9/2024 của UBND thành phố Kon Tum</t>
  </si>
  <si>
    <t>Sâm dây Ngọc Linh ngâm mật ong</t>
  </si>
  <si>
    <t>Công ty Cổ phần ứng dụng công nghệ cao Hoàng Linh</t>
  </si>
  <si>
    <t>Lê Văn Quảng
0934855178</t>
  </si>
  <si>
    <t>số 1392/QĐ-UBND 
ngày 22/9/2023 của UBND TP  Kon Tum</t>
  </si>
  <si>
    <t>Phở khô</t>
  </si>
  <si>
    <t>Hộ kinh doanh Phạm Thị Hồng Ly</t>
  </si>
  <si>
    <t>Phạm Thị Hồng Ly
0977334974</t>
  </si>
  <si>
    <t>số 150/QĐ-UBND 
ngày 16/01/2024 của UBND TP Kon Tum</t>
  </si>
  <si>
    <t>(9)</t>
  </si>
  <si>
    <t>Phường Đăk Cấm (12 sp)</t>
  </si>
  <si>
    <t>Yến chưng Kon Tum</t>
  </si>
  <si>
    <t>Công ty TNHH Yến sào Kon Tum</t>
  </si>
  <si>
    <t>Đặng Xuân Hùng
0962888681</t>
  </si>
  <si>
    <t>139/QĐ-UBND ngày  19/2/2024 của UBND  tinh Kon Tum</t>
  </si>
  <si>
    <t>Nước Yến sâm Kon Tum</t>
  </si>
  <si>
    <t>Yến đông trùng Kon Tum</t>
  </si>
  <si>
    <t>Yến chưng ăn kiêng Kon Tum</t>
  </si>
  <si>
    <t>Yến tinh chế</t>
  </si>
  <si>
    <t>Trung Quốc</t>
  </si>
  <si>
    <t>Rượu Làng Hồ PALACE</t>
  </si>
  <si>
    <t>Công ty cổ phần xuất nhập khẩu Lộc Anh</t>
  </si>
  <si>
    <t>Vũ Văn Hinh
02603917699
hoặc 0987856222</t>
  </si>
  <si>
    <t>số 150/QĐ-UBND  ngày 16/01/2024 của UBND TP Kon Tum</t>
  </si>
  <si>
    <t>Rượu ĐắkBla PALACE</t>
  </si>
  <si>
    <t>Sâm dây Ngọc Linh mật ong</t>
  </si>
  <si>
    <t>Cà phê hòa tan 3 in 1</t>
  </si>
  <si>
    <t>Công ty TNHH sản xuất Thương mại Dịch vụ Tây Nguyên Xanh</t>
  </si>
  <si>
    <t>Trịnh Tuấn Kiệt
0966254382</t>
  </si>
  <si>
    <t>1392/QĐ-UBND 
ngày 22/9/2023 của UBND TP  Kon Tum</t>
  </si>
  <si>
    <t>Sam One 2 - Trà Sâm dây Ngọc Linh</t>
  </si>
  <si>
    <t>Công ty Cổ phần dược liệu Sâm Việt Nam</t>
  </si>
  <si>
    <t xml:space="preserve">Nguyễn Tuấn Vũ
0905064579
</t>
  </si>
  <si>
    <t>Quyết định số  1392/QĐ-UBND 
ngày 22/9/2023 của UBND TP  Kon Tum</t>
  </si>
  <si>
    <t>Rượu Sâm dây D68</t>
  </si>
  <si>
    <t>(10)</t>
  </si>
  <si>
    <t>Phường Đăk Bla (2sp)</t>
  </si>
  <si>
    <t>Dưa lưới</t>
  </si>
  <si>
    <t>Hợp tác xã sản xuất, kinh doanh rau sạch Phượng Hồng</t>
  </si>
  <si>
    <t>Đinh Thị Trung Dung
0794689979</t>
  </si>
  <si>
    <t>1392/QĐ-UBND ngày 22/9/2023 của UBND TP  Kon Tum</t>
  </si>
  <si>
    <t>Tinh bột nghệ - Kon Tum</t>
  </si>
  <si>
    <t>HKD Hằng Thuận Tây Nguyên</t>
  </si>
  <si>
    <t>2148/ QĐ-UBND ngày 13/9/2024 của UBND thành phố Kon Tum</t>
  </si>
  <si>
    <t>(11)</t>
  </si>
  <si>
    <t>Xã Tịnh Khê (9 sp)</t>
  </si>
  <si>
    <t>Nhang quế Tấn Nhật</t>
  </si>
  <si>
    <t>Cơ sở nhang sạch người khuyết tật Tấn Nhật</t>
  </si>
  <si>
    <t>Đặng Văn Tấn
0966856460</t>
  </si>
  <si>
    <t>Thảo dược</t>
  </si>
  <si>
    <t>Nhang thảo mộc Tấn Nhật</t>
  </si>
  <si>
    <t>Nụ thảo mộc Tấn Nhật</t>
  </si>
  <si>
    <t>Chả cá chiên cô Sang</t>
  </si>
  <si>
    <t>Hộ kinh doanh chả cá Lý Sơn cô Sang</t>
  </si>
  <si>
    <t>Đặng Thị Sang
0985171722</t>
  </si>
  <si>
    <t>Chả cá đỏ củ cô Sang (sống)</t>
  </si>
  <si>
    <t>Dịch vụ du lịch cộng đồng rừng dừa nước Tịnh Khê</t>
  </si>
  <si>
    <t>HTX nông nghiệp và du lịch cộng đồng Mỹ Khê</t>
  </si>
  <si>
    <t>Nguyễn Văn Dũng
0909974186</t>
  </si>
  <si>
    <t xml:space="preserve">540/QĐ-UBND ngày 21/02/2025 của UBND TP Quảng Ngãi </t>
  </si>
  <si>
    <t>Dịch vụ du lịch</t>
  </si>
  <si>
    <t>Nấm bào ngư xám Dương  Linh</t>
  </si>
  <si>
    <t>Hộ kinh doanh Văn Diện</t>
  </si>
  <si>
    <t>Đỗ Văn Diện
0901940542</t>
  </si>
  <si>
    <t>Mứt quê má Thủy</t>
  </si>
  <si>
    <t>Hộ kinh doanh Mứt thảo dược Sung Tích</t>
  </si>
  <si>
    <t>Huỳnh Thị Thu Vân
0869313153</t>
  </si>
  <si>
    <t>Rau diếp cá</t>
  </si>
  <si>
    <t>Hợp tác xã nông nghiệp Tịnh Châu</t>
  </si>
  <si>
    <t>Đặng Hoàng Sơn
0978385394</t>
  </si>
  <si>
    <t>6328/QĐ-UBND ngày 31/12/2024 của UBND tp Quảng Ngãi</t>
  </si>
  <si>
    <t>(12)</t>
  </si>
  <si>
    <t>Xã An Phú (7 sp)</t>
  </si>
  <si>
    <t>Chả cá viên Thương (dạng tròn, sợi)</t>
  </si>
  <si>
    <t>Công ty TNHH thủy sản Phú Thọ</t>
  </si>
  <si>
    <t>Nguyễn Thị Thương
0905 846 027</t>
  </si>
  <si>
    <t>Nước chấm Phước An</t>
  </si>
  <si>
    <t>Hộ kinh doanh Lê Tấn Mỹ</t>
  </si>
  <si>
    <t>Lê Tấn Mỹ
0388958343</t>
  </si>
  <si>
    <t>Nước mắm Phước An</t>
  </si>
  <si>
    <t>Đường phèn Hương Trà</t>
  </si>
  <si>
    <t>Cơ sở sản xuất - thương mại đường phèn, đường phổi Hương Trà</t>
  </si>
  <si>
    <t>Đặng Văn Can
0935 200 414</t>
  </si>
  <si>
    <t>Surimi - Chả cá chuồn Thương</t>
  </si>
  <si>
    <t>Hộ kinh doanh Nguyễn Thị Thương</t>
  </si>
  <si>
    <t>Yến tinh chế sợi Hân Lê</t>
  </si>
  <si>
    <t>Hộ kinh doanh yến sào Hân Lê</t>
  </si>
  <si>
    <t>Lê Thị Tố Hân
0979156223</t>
  </si>
  <si>
    <t>Yến sào siêu sợi Hân Lê</t>
  </si>
  <si>
    <t>(13)</t>
  </si>
  <si>
    <t>Xã Nguyễn Nghiêm (1 sp)</t>
  </si>
  <si>
    <t>HTX Nông nghiệp Công nghệ cao Nông Thôn Mới</t>
  </si>
  <si>
    <t>Lê Tân
0255.3987128</t>
  </si>
  <si>
    <t xml:space="preserve">6326/QĐ-UBND ngày 01/11/2023 của UBND thị xã Đức Phổ </t>
  </si>
  <si>
    <t>(14)</t>
  </si>
  <si>
    <t>Xã Khánh Cường (2 sp)</t>
  </si>
  <si>
    <t>Củ sắn Phú Thiện</t>
  </si>
  <si>
    <t>HTX NN Phổ Khánh</t>
  </si>
  <si>
    <t>Trần Văn Thành
0984165856</t>
  </si>
  <si>
    <t>Hủ tiếu Thiên Bảo</t>
  </si>
  <si>
    <t>Hộ kinh doanh Đào Tấn Thiên</t>
  </si>
  <si>
    <t>Đào Tấn Thiên
0905811176</t>
  </si>
  <si>
    <t>(15)</t>
  </si>
  <si>
    <t>Xã Bình Minh (2 sp)</t>
  </si>
  <si>
    <t xml:space="preserve">Bánh tráng gạo Kim Ngọc </t>
  </si>
  <si>
    <t>Hộ kinh doanh Võ Minh Công</t>
  </si>
  <si>
    <t>Võ Minh Công
0903417634
 – 0937830460</t>
  </si>
  <si>
    <t xml:space="preserve">2785/QĐ-UBND ngày 31/12/2024 của UBND huyện Bình Sơn </t>
  </si>
  <si>
    <t>Ốc nhồi ống nứa Hoàng Lê</t>
  </si>
  <si>
    <t>Hợp tác xã nông nghiệp vànuôi trồng thủy sản Hoàng Lê</t>
  </si>
  <si>
    <t>Lê Tấn Hoàng
0789479558</t>
  </si>
  <si>
    <t>(16)</t>
  </si>
  <si>
    <t>Xã Bình Chương (1 sp)</t>
  </si>
  <si>
    <t>Cơm chiên mắm hành Như Ý</t>
  </si>
  <si>
    <t xml:space="preserve">Hộ kinh doanh Nguyễn Phú Kinh </t>
  </si>
  <si>
    <t>Nguyễn Phú Kinh 
0374282354</t>
  </si>
  <si>
    <t>(17)</t>
  </si>
  <si>
    <t>Xã Bình Sơn (12 sp)</t>
  </si>
  <si>
    <t>Bột ngũ cốc Hương Nguyên</t>
  </si>
  <si>
    <t>Hộ kinh doanh Hương Nguyên</t>
  </si>
  <si>
    <t>Nguyễn Thị Hường
0344.817.992</t>
  </si>
  <si>
    <t xml:space="preserve">1144/QĐ-UBND ngày 21/7/2023 của UBND huyện Bình Sơn </t>
  </si>
  <si>
    <t>Đường mía thô</t>
  </si>
  <si>
    <t>Hộ kinh doanh
Đường mía thủ công
Ann Food</t>
  </si>
  <si>
    <t>Trịnh Thị Kim Oanh
0967957602</t>
  </si>
  <si>
    <t xml:space="preserve">1123/QĐ-UBND ngày 18/6/2025 của UBND huyện Bình Sơn </t>
  </si>
  <si>
    <t>Mật mía tự nhiên</t>
  </si>
  <si>
    <t>Lục bình gốm Mỹ Thiện</t>
  </si>
  <si>
    <t>Hộ kinh doanh Đặng Văn Trịnh</t>
  </si>
  <si>
    <t>Đặng Văn Trịnh
0865109679</t>
  </si>
  <si>
    <t>Chả lụa Tân Lập</t>
  </si>
  <si>
    <t>Công ty TNHH MTV Chế biến thực phẩm Tân Lập</t>
  </si>
  <si>
    <t>Nguyễn Văn Lập
0334149111</t>
  </si>
  <si>
    <t>Xiên que Tân Lập</t>
  </si>
  <si>
    <t xml:space="preserve">2245/QĐ-UBND ngày 28/12/2023 của UBND huyện Bình Sơn </t>
  </si>
  <si>
    <t>Nem chua Tân Lập</t>
  </si>
  <si>
    <t>Hủ yến tinh chế tự chưng</t>
  </si>
  <si>
    <t>hộ kinh doanh Lê Thị Kim Ánh</t>
  </si>
  <si>
    <t>Lê Thị Kim Ánh
0948 419 580</t>
  </si>
  <si>
    <t>Nước mắm cốt thượng hạng Mười Quý</t>
  </si>
  <si>
    <t>Công ty TNHH MTV Sản xuất Thương mại và Dịch vụ Mười Quý</t>
  </si>
  <si>
    <t>Đào Trọng Mười
0917302017</t>
  </si>
  <si>
    <t xml:space="preserve">1454/QĐ-UBND ngày 02/7/2024 của UBND huyện Bình Sơn </t>
  </si>
  <si>
    <t>Nước mắm cốt đặc biệt Muời Quý</t>
  </si>
  <si>
    <t>Sản phẩm Đông trùng hạ
thảo sấy thăng hoa</t>
  </si>
  <si>
    <t>Công ty TNHH Nấm
vàng Thành Đạt</t>
  </si>
  <si>
    <t>Trần Xuân Vũ
0976349809</t>
  </si>
  <si>
    <t>Ớt Bình Dương</t>
  </si>
  <si>
    <t>HTX Nông nghiệp Bình Dương</t>
  </si>
  <si>
    <t>Bạch Hùng
0934964797</t>
  </si>
  <si>
    <t>(18)</t>
  </si>
  <si>
    <t>Xã Vạn Tường (4 sp)</t>
  </si>
  <si>
    <t>Hành tím Bình Hải</t>
  </si>
  <si>
    <t>Hợp tác xã nông nghiệp Bình Hải</t>
  </si>
  <si>
    <t>Đỗ Biên Nhất
0777474718</t>
  </si>
  <si>
    <t>Hủ Yến chưng tiệt trùng</t>
  </si>
  <si>
    <t>Công ty TNHH SXKD Đông Á</t>
  </si>
  <si>
    <t>Lư Hải Vinh</t>
  </si>
  <si>
    <t>Sản phẩm Nước mắm rin
nguyên chất Bốn Khối</t>
  </si>
  <si>
    <t>Công ty CP Bốn Khối</t>
  </si>
  <si>
    <t>Huỳnh Tấn Thuyên
0903882558</t>
  </si>
  <si>
    <t>Cốm tảo xoắn Spirulina VT</t>
  </si>
  <si>
    <t>HTX nông nghiệp công nghệ cao Vạn Tường</t>
  </si>
  <si>
    <t>(19)</t>
  </si>
  <si>
    <t>Xã Đông Sơn (4sp)</t>
  </si>
  <si>
    <t>Chả cá Nguyễn Thị Lý</t>
  </si>
  <si>
    <t>Hộ kinh doanh Nguyễn Thị Lý</t>
  </si>
  <si>
    <t>Nguyễn Thị Lý
0707326325</t>
  </si>
  <si>
    <t>Nén Bình Phú</t>
  </si>
  <si>
    <t>HTX Dịch vụ Nông nghiệp xã Bình Phú</t>
  </si>
  <si>
    <t>Nguyễn Thị Kiều Hoa
0917302017</t>
  </si>
  <si>
    <t>Mắm ruốc Ba Duyên</t>
  </si>
  <si>
    <t>Hộ kinh doanh Ba Duyên</t>
  </si>
  <si>
    <t>Võ Văn Vũ
0914087995</t>
  </si>
  <si>
    <t>Nước Mắm Ba Duyên</t>
  </si>
  <si>
    <t>(20)</t>
  </si>
  <si>
    <t>Xã Trường Giang (10 sp)</t>
  </si>
  <si>
    <t>Bánh in đậu xanh Thu Thảo</t>
  </si>
  <si>
    <t>Hộ kinh doanh Tôn Thị Yến Thu</t>
  </si>
  <si>
    <t>Tôn Thị Yến Thu
0393190848</t>
  </si>
  <si>
    <t xml:space="preserve">3576/QĐ-UBND ngày 05/10/2023 của UBND huyện Sơn Tịnh </t>
  </si>
  <si>
    <t>Bộ sản phẩm rèn truyền thống Tịnh Minh (Rựa, cuốc, liềm, dao)</t>
  </si>
  <si>
    <t>Hộ kinh doanh Nguyễn Hữu Lý</t>
  </si>
  <si>
    <t>Nguyễn Hữu Lý
0972425286</t>
  </si>
  <si>
    <t>Thủ công mỹ nghệ</t>
  </si>
  <si>
    <t>Gạo lứt Oly</t>
  </si>
  <si>
    <t>Hộ kinh doanh sản xuất thương mại Oly</t>
  </si>
  <si>
    <t xml:space="preserve">Nguyễn Thị Mai Ly
0988340587
</t>
  </si>
  <si>
    <t xml:space="preserve">5181/QĐ-UBND ngày 12/12/2023 của UBND huyện Sơn Tịnh </t>
  </si>
  <si>
    <t>Thanh rong biển Oly</t>
  </si>
  <si>
    <t>Thanh gạo lứt Oly</t>
  </si>
  <si>
    <t xml:space="preserve">809/QĐ-UBND ngày 18/4/2025 của UBND huyện Sơn Tịnh </t>
  </si>
  <si>
    <t>Bánh gạo lứt mầm mè đen</t>
  </si>
  <si>
    <t>Cơm sấy gạo lứt rong biển</t>
  </si>
  <si>
    <t>Trà Gạo hạt rang</t>
  </si>
  <si>
    <t xml:space="preserve">1425/QĐ-UBND ngày 9/6/2025 của UBND huyện Sơn Tịnh </t>
  </si>
  <si>
    <t>Thanh gạo lứt chà bông</t>
  </si>
  <si>
    <t>Chả lụa Sáu Hạnh</t>
  </si>
  <si>
    <t>Hộ kinh doanh Sáu Hạnh</t>
  </si>
  <si>
    <t>Bùi Thị Mỹ Hạnh
0962.664.799</t>
  </si>
  <si>
    <t>(21)</t>
  </si>
  <si>
    <t>Xã Ba Gia (3 sp)</t>
  </si>
  <si>
    <t>Chà bông Lavi</t>
  </si>
  <si>
    <t>Cơ sở sản xuất thiên nhiên Lavi</t>
  </si>
  <si>
    <t>Võ Thuỳ Lan Viên
0987980924</t>
  </si>
  <si>
    <t>Dầu lạc Tịnh Trà</t>
  </si>
  <si>
    <t>Hợp tác xã DVNN Tịnh Trà</t>
  </si>
  <si>
    <t>Huỳnh Tấn Sinh
0973714713</t>
  </si>
  <si>
    <t>Bánh tét Hoa Kiều</t>
  </si>
  <si>
    <t>HKD Đinh Minh Trường</t>
  </si>
  <si>
    <t>Đinh Minh Trường
0397374123</t>
  </si>
  <si>
    <t>(22)</t>
  </si>
  <si>
    <t>Xã Sơn Tịnh (5 sp)</t>
  </si>
  <si>
    <t>Dầu đậu phụng Omela</t>
  </si>
  <si>
    <t>HKD Lê Văn Vương</t>
  </si>
  <si>
    <t>Lê Văn Vương
0976321400</t>
  </si>
  <si>
    <t>Dầu mè đen Omela</t>
  </si>
  <si>
    <t>Chả lụa Myton</t>
  </si>
  <si>
    <t>Hộ kinh doanh 
Tôn Thị Quỳnh My</t>
  </si>
  <si>
    <t>Tôn Thị Quỳnh My
0343.698.407</t>
  </si>
  <si>
    <t xml:space="preserve">Lạp xưởng khô Myton
</t>
  </si>
  <si>
    <t>Bánh chưng MYTON</t>
  </si>
  <si>
    <t>(23)</t>
  </si>
  <si>
    <t>Xã Thọ Phong (5 sp)</t>
  </si>
  <si>
    <t>Nấm Đông trùng hạ thảo khô SONITA</t>
  </si>
  <si>
    <t>Công ty TNHH MTV Nấm Dược Liệu Ninh Trương</t>
  </si>
  <si>
    <t>Trương Quang Ninh
0945678874</t>
  </si>
  <si>
    <t>Mật ong ngâm đông trùng hạ thảo Sonita</t>
  </si>
  <si>
    <t>Nấm đông trùng hạ thảo tươi Sonita</t>
  </si>
  <si>
    <t>Gà đồi Tịnh Phong</t>
  </si>
  <si>
    <t>Hợp tác xã nông nghiệp dịch vụ Tịnh Phong</t>
  </si>
  <si>
    <t>Phạm Văn Hận
0342.223.989</t>
  </si>
  <si>
    <t>Nấm bào ngư xám</t>
  </si>
  <si>
    <t>Hộ kinh doanh trại nấm Hoàn Vũ</t>
  </si>
  <si>
    <t>(24)</t>
  </si>
  <si>
    <t>Xã Tư Nghĩa (12 sp)</t>
  </si>
  <si>
    <t>Cây Mai Tình</t>
  </si>
  <si>
    <t>Hộ kinh doanh Huỳnh Phận</t>
  </si>
  <si>
    <t>Huỳnh Phận
0973.691156</t>
  </si>
  <si>
    <t xml:space="preserve">6554/QĐ-UBND ngày 13/12/2024 của UBND huyện Tư Nghĩa </t>
  </si>
  <si>
    <t>Cây cảnh</t>
  </si>
  <si>
    <t>Bánh tráng nhúng mè Hai Cô Gái</t>
  </si>
  <si>
    <t>Hộ kinh doanh Hai Cô Gái</t>
  </si>
  <si>
    <t>Nguyễn Thị Thuỳ Dung
0986801589</t>
  </si>
  <si>
    <t>Bộ sản phẩm Yến sào Quý Thịnh</t>
  </si>
  <si>
    <t>Hộ kinh doanh Yến sào Quý Thịnh Quảng Nghĩa</t>
  </si>
  <si>
    <t>Nguyễn Văn Quý
0979775239</t>
  </si>
  <si>
    <t xml:space="preserve">4465/QĐ-UBND ngày 09/8/2024 của UBND huyện Tư Nghĩa </t>
  </si>
  <si>
    <t>Yến chưng Đông trùng hạ thảo</t>
  </si>
  <si>
    <t>6718/QĐ-UBND huyện Tư Nghĩa ngày 24/12/2024</t>
  </si>
  <si>
    <t>Yến chưng hạt chia</t>
  </si>
  <si>
    <t xml:space="preserve">6718/QĐ-UBND ngày 24/12/2024 của UBND huyện Tư Nghĩa </t>
  </si>
  <si>
    <t>Yến chưng đường phèn</t>
  </si>
  <si>
    <t>Bánh nổ rang Trà My</t>
  </si>
  <si>
    <t xml:space="preserve">Hộ kinh doanh Bích Thuỷ </t>
  </si>
  <si>
    <t>Võ Thị Bích Thuỷ
0358380414</t>
  </si>
  <si>
    <t>Rau dền 3 màu</t>
  </si>
  <si>
    <t>HTXNN rau sạch Mầm Việt</t>
  </si>
  <si>
    <t>Nguyễn Tấn Phụng
0984396969</t>
  </si>
  <si>
    <t>Rau cải</t>
  </si>
  <si>
    <t>Hộ kinh doanh Trại nấm Minh Anh</t>
  </si>
  <si>
    <t xml:space="preserve">Vũ Thị Thu Huyền
0976.130050 </t>
  </si>
  <si>
    <t xml:space="preserve">3330/QĐ-UBND  ngày 30/5/2025 của UBND huyện Tư Nghĩa </t>
  </si>
  <si>
    <t>Chả Lụa Hiếu Phúc</t>
  </si>
  <si>
    <t>Hộ kinh doanh Hiếu Phúc</t>
  </si>
  <si>
    <t xml:space="preserve">Phan Quang Hiếu
0905.333034 </t>
  </si>
  <si>
    <t>Chả Bò Hiếu Phúc</t>
  </si>
  <si>
    <t>(25)</t>
  </si>
  <si>
    <t>Xã Vệ Giang (5 sp)</t>
  </si>
  <si>
    <t>Chả lụa Kim Đính</t>
  </si>
  <si>
    <t>Hộ kinh doanh sản xuất nem chả Kim Đính</t>
  </si>
  <si>
    <t>Lê Thị Đính
0935077747</t>
  </si>
  <si>
    <t xml:space="preserve">3031/QĐ-UBND ngày 26/5/2023 của UBND huyện Tư Nghĩa </t>
  </si>
  <si>
    <t>Chả bò Kim Đính</t>
  </si>
  <si>
    <t>Bộ hoa Nghĩa Hiệp (Cúc, Hồng, Dạ yến thảo)</t>
  </si>
  <si>
    <t>Hộ kinh doanh Võ Văn Vân</t>
  </si>
  <si>
    <t>Võ Văn Vân
0362347425</t>
  </si>
  <si>
    <t>Trà hoa Hồng O’FARM</t>
  </si>
  <si>
    <t>HTX DVNN Hoa Nghĩa Hiệp</t>
  </si>
  <si>
    <t xml:space="preserve">Trần Quang Nhật
0768.653049
</t>
  </si>
  <si>
    <t>Bột hoa Hồng O’FARM</t>
  </si>
  <si>
    <t>(26)</t>
  </si>
  <si>
    <t>Xã Nghĩa Giang (7 sản phẩm)</t>
  </si>
  <si>
    <t>Đường phèn Mỹ Nhật</t>
  </si>
  <si>
    <t>Hộ kinh doanh Mỹ Nhật</t>
  </si>
  <si>
    <t>Trần Thị Mỹ
0947735760</t>
  </si>
  <si>
    <t>Đường phổi Mỹ Nhật</t>
  </si>
  <si>
    <t>Cao mật mía Atiso Miền Xanh</t>
  </si>
  <si>
    <t xml:space="preserve">Hộ kinh doanh Miền Trung Xanh </t>
  </si>
  <si>
    <t>Đoàn Đức Uy 0977.406640</t>
  </si>
  <si>
    <t>Cao mật mía Hà thủ ô Miền Xanh</t>
  </si>
  <si>
    <t>Mật mía Miền Xanh</t>
  </si>
  <si>
    <t>Nấm bào ngư xám tươi</t>
  </si>
  <si>
    <t>HTXNN Công nghệ cao An Phát</t>
  </si>
  <si>
    <t>Ngô Thị Yến Nhi
0918261361</t>
  </si>
  <si>
    <t>Nấm linh chi sấy khô</t>
  </si>
  <si>
    <t>(27)</t>
  </si>
  <si>
    <t>Xã Trà Giang (1 sp)</t>
  </si>
  <si>
    <t>Tổ yến Tân Nghĩa Lâm</t>
  </si>
  <si>
    <t>Hộ kinh doanh Nguyễn Thị Thuỳ</t>
  </si>
  <si>
    <t>Nguyễn Thị Thuỳ
0913606811</t>
  </si>
  <si>
    <t>(28)</t>
  </si>
  <si>
    <t>Xã Nghĩa Hành (5 sp)</t>
  </si>
  <si>
    <t>Bánh tráng gạo Bảo Tiên</t>
  </si>
  <si>
    <t>Hộ kinh doanh Bảo Tiên</t>
  </si>
  <si>
    <t>Nguyễn Thị Cẩm Tiên
0975197310</t>
  </si>
  <si>
    <t xml:space="preserve">8073/QĐ-UBND ngày 29/12/2023 của UBND huyện Nghĩa Hành </t>
  </si>
  <si>
    <t>Cơm cháy cá Bống sông Trà Hương Vị Mới</t>
  </si>
  <si>
    <t>Cơ sở kinh doanh Hương Vị Mới</t>
  </si>
  <si>
    <t>Thượng Thị Bình Uyên
0937831929</t>
  </si>
  <si>
    <t>Bánh phồng cá bống sông trà Hương Vị Mới</t>
  </si>
  <si>
    <t>Cơm cháy mỡ hành Hoài Dung</t>
  </si>
  <si>
    <t>Hộ kinh doanh cơm cháy mỡ hành Hoài Dung</t>
  </si>
  <si>
    <t>Nguyễn Phước An
0917730777</t>
  </si>
  <si>
    <t xml:space="preserve">2629/QĐ-UBND ngày 11/6/2025 của UBND huyện Nghĩa Hành </t>
  </si>
  <si>
    <t xml:space="preserve">Thịt bò khô Bà Năm </t>
  </si>
  <si>
    <t>Hộ kinh doanh cơ sở Bà Năm</t>
  </si>
  <si>
    <t>Nguyễn Thị Thúy Hà
0917514574</t>
  </si>
  <si>
    <t xml:space="preserve">4612/QĐ-UBND ngày 27/12/2024 của UBND huyện Nghĩa Hành </t>
  </si>
  <si>
    <t>(29)</t>
  </si>
  <si>
    <t>Xã Thiện Tín (3 sp)</t>
  </si>
  <si>
    <t xml:space="preserve">Xúc xích Bảo Thoa </t>
  </si>
  <si>
    <t>Hộ kinh doanh Nguyễn Thị Bảo
Thoa</t>
  </si>
  <si>
    <t>Nguyễn Thị Bảo Thoa
0912172194</t>
  </si>
  <si>
    <t xml:space="preserve">Chả lụa Bảo Thoa </t>
  </si>
  <si>
    <t>Chuối Ngự Nghĩa Hành</t>
  </si>
  <si>
    <t>Hợp tác xã nông nghiệp
 Hành Tín Đông</t>
  </si>
  <si>
    <t>Trương Lưu
0763786827</t>
  </si>
  <si>
    <t>(30)</t>
  </si>
  <si>
    <t>Xã Phước Giang (6 sp)</t>
  </si>
  <si>
    <t>Bưởi da xanh</t>
  </si>
  <si>
    <t>Hợp tác xã
 nông nghiệp Hành Nhân</t>
  </si>
  <si>
    <t>Nguyễn Văn Đóa
0985524739</t>
  </si>
  <si>
    <t>Chôm chôm</t>
  </si>
  <si>
    <t>Sầu riêng</t>
  </si>
  <si>
    <t>Chanh muối HD</t>
  </si>
  <si>
    <t>Hợp tác xã nông nghiệp Hành Dũng</t>
  </si>
  <si>
    <t>Nguyễn Đức Công
0987040991</t>
  </si>
  <si>
    <t xml:space="preserve">252/QĐ-UBND ngày 23/01/2024 của UBND huyện Nghĩa Hành </t>
  </si>
  <si>
    <t xml:space="preserve">Nấm bào ngư xám HT </t>
  </si>
  <si>
    <t>Hộ kinh doanh trại nấm hữu cơ HT</t>
  </si>
  <si>
    <t>Nguyễn Thị Hoàng Thơ
0911404152</t>
  </si>
  <si>
    <t xml:space="preserve">Rượu nếp Baau Dia </t>
  </si>
  <si>
    <t>Hộ kinh doanh Nguyễn Thị Kiều Hoanh</t>
  </si>
  <si>
    <t>Nguyễn Thị Kiều Hoanh
0945043510</t>
  </si>
  <si>
    <t>(31)</t>
  </si>
  <si>
    <t>Xã Long Phụng (17 sp)</t>
  </si>
  <si>
    <t>Nước mắm Ông Ba ớt</t>
  </si>
  <si>
    <t>Cơ sở SX nước mắm 
Ông Ba ớt</t>
  </si>
  <si>
    <t>Phạm Thị Thuý Vân
0919404578</t>
  </si>
  <si>
    <t xml:space="preserve">5179/QĐ-UBND ngày 15/12/2023 của UBND huyện Mộ Đức </t>
  </si>
  <si>
    <t>Nấm bào ngư</t>
  </si>
  <si>
    <t>Hợp tác xã sản xuất và 
kinh doanh nấm Đức Nhuận</t>
  </si>
  <si>
    <t xml:space="preserve">Lê Giang Phong
0915413567
</t>
  </si>
  <si>
    <t xml:space="preserve">3944/QĐ-UBND ngày 05/10/2023 của UBND huyện Mộ Đức  </t>
  </si>
  <si>
    <t xml:space="preserve">Nấm linh chi </t>
  </si>
  <si>
    <t>Khô sợi bào ngư</t>
  </si>
  <si>
    <t xml:space="preserve">425/QĐ-UBND ngày 31/12/2024 của UBND huyện Mộ Đức  </t>
  </si>
  <si>
    <t>Bột nêm nấm bào ngư</t>
  </si>
  <si>
    <t xml:space="preserve">Nấm đông trùng hạ thảo </t>
  </si>
  <si>
    <t>Trà linh chi đông trùng hạ thảo</t>
  </si>
  <si>
    <t>Cao linh chi</t>
  </si>
  <si>
    <t>Trà linh chi túi lọc</t>
  </si>
  <si>
    <t>Mạch nha nếp Thy Thảo</t>
  </si>
  <si>
    <t>Cơ sở sản xuất mạch nha Thy Thảo</t>
  </si>
  <si>
    <t>Trương Thị Thảo
0918362669</t>
  </si>
  <si>
    <t xml:space="preserve">229/QĐ-UBND ngày 23/5/2024 của UBND huyện Mộ Đức  </t>
  </si>
  <si>
    <t>Bánh mè mặn Cô Mận</t>
  </si>
  <si>
    <t>Hộ kinh doanh Bánh mè Cô Mận</t>
  </si>
  <si>
    <t>Lê Thị Mận
0339573106</t>
  </si>
  <si>
    <t>Dầu gội bồ kết thảo dược</t>
  </si>
  <si>
    <t>Công ty TNHH MTV Trịnh Trần Gia</t>
  </si>
  <si>
    <t>Trần Thị Ngọc Cẩm
0934858833</t>
  </si>
  <si>
    <t>Dầu gội Bưởi BOBOON</t>
  </si>
  <si>
    <t>Xịt tinh dầu bưởi hương nhu BOBOON</t>
  </si>
  <si>
    <t>Dịch vụ du lịch cộng đồng Thắng Lợi</t>
  </si>
  <si>
    <t>Hợp tác xã nông nghiệp Thắng Lợi</t>
  </si>
  <si>
    <t>Lê Tuấn Trinh
0988882981</t>
  </si>
  <si>
    <t xml:space="preserve">263/QĐ-UBND ngày 03/6/2025 của UBND huyện Mộ Đức </t>
  </si>
  <si>
    <t>Tương ớt Cô Huệ</t>
  </si>
  <si>
    <t>Hộ kinh doanh Cô Huệ</t>
  </si>
  <si>
    <t>Trần Văn Thú
0984267143</t>
  </si>
  <si>
    <t>Dầu Phụng Nghi Phú</t>
  </si>
  <si>
    <t>Cơ sở ép dầu phụng Nghi Phú</t>
  </si>
  <si>
    <t>Trần Thị Huyền Trang
0949.909.247</t>
  </si>
  <si>
    <t>(32)</t>
  </si>
  <si>
    <t>Xã Mỏ Cày (8 sp)</t>
  </si>
  <si>
    <t>Dầu gội thảo mộc Nét Xưa</t>
  </si>
  <si>
    <t>Hộ kinh doanh dầu gội thảo mộc Nét Xưa</t>
  </si>
  <si>
    <t>Đỗ Thị Trà My
0987.946.787</t>
  </si>
  <si>
    <t xml:space="preserve">229/QĐ-UBND ngày 23/5/2024 của UBND huyện Mộ Đức </t>
  </si>
  <si>
    <t>Chả lụa Hải Hồng</t>
  </si>
  <si>
    <t>Hộ kinh doanh chả Hải Hồng</t>
  </si>
  <si>
    <t>Nguyễn Thị Hồng
0973674601</t>
  </si>
  <si>
    <t>Chả Bò Hải Hồng</t>
  </si>
  <si>
    <t>Gạo sạch Ấn Trà</t>
  </si>
  <si>
    <t>Võ Thị Hồng Vân
0979778367</t>
  </si>
  <si>
    <t>Bánh Tráng Gạo lứt Ấn Trà</t>
  </si>
  <si>
    <t>Bánh kẹp cuốn Trần Lê</t>
  </si>
  <si>
    <t>Hộ kinh doanh Trần Lê</t>
  </si>
  <si>
    <t>Trần Thị Lệ
0368834678</t>
  </si>
  <si>
    <t>Bánh tráng gạo Huy Cường</t>
  </si>
  <si>
    <t>Cơ sở SX bánh tráng 
Lê Thái Cường</t>
  </si>
  <si>
    <t>Lê Thái Cường
0978496693</t>
  </si>
  <si>
    <t>Xúc xích tươi Thuỳ Đại</t>
  </si>
  <si>
    <t xml:space="preserve">Hộ kinh doanh 
xúc xích tươi Thuỳ Đại
</t>
  </si>
  <si>
    <t>Lê Thị Diễm Thuỳ
0327194721</t>
  </si>
  <si>
    <t xml:space="preserve">425/QĐ-UBND ngày 31/12/2024 của UBND huyện Mộ Đức </t>
  </si>
  <si>
    <t>(33)</t>
  </si>
  <si>
    <t>Xã Mộ Đức (10 sp)</t>
  </si>
  <si>
    <t>Chanh muối Ngọc Khánh Trang</t>
  </si>
  <si>
    <t xml:space="preserve">Hộ Kinh doanh 
Ngọc Khánh Trang
</t>
  </si>
  <si>
    <t>Mai Thị Hồng Nguyên
0974730468</t>
  </si>
  <si>
    <t>Chánh tươi Ngọc Khánh Trang</t>
  </si>
  <si>
    <t>Chanh tươi mật ong Ngọc Khánh Trang</t>
  </si>
  <si>
    <t>Chanh tươi sấy khô Ngọc Khánh Trang</t>
  </si>
  <si>
    <t>Chanh muối mật ong Ngọc Khánh Trang</t>
  </si>
  <si>
    <t>Bí đao sấy khô Ngọc Khánh Trang</t>
  </si>
  <si>
    <t>Ổi Minh Hiển</t>
  </si>
  <si>
    <t>Hộ kinh doanh Minh Hiển</t>
  </si>
  <si>
    <t>Phạm Thị Ngọc Biểu
0984287270</t>
  </si>
  <si>
    <t>Dầu Lạc HTX NN Đức Phú</t>
  </si>
  <si>
    <t>Hợp tác xã Nông nghiệp Đức Phú</t>
  </si>
  <si>
    <t>Phạm Ngọc Yến
0379725189</t>
  </si>
  <si>
    <t>Dầu mè HTX NN Đức Phú</t>
  </si>
  <si>
    <t>Mạch nha Kim Hồng</t>
  </si>
  <si>
    <t>Cơ sở SX Mạch nha 
Nguyễn Anh Tiến</t>
  </si>
  <si>
    <t>Nguyễn Anh Tiến
0973988599</t>
  </si>
  <si>
    <t>(34)</t>
  </si>
  <si>
    <t>Xã Lân Phong (8 sp)</t>
  </si>
  <si>
    <t>Bánh mè ngọt</t>
  </si>
  <si>
    <t>Hộ kinh doanh Diệp Hằng</t>
  </si>
  <si>
    <t>Phạm Thị Hằng
0933621698</t>
  </si>
  <si>
    <t>Bánh mè mặn</t>
  </si>
  <si>
    <t>Hộ kinh doanh Huy Ny</t>
  </si>
  <si>
    <t>Hoàng Minh Cường
0392094632</t>
  </si>
  <si>
    <t>Trứng gà ác Nam Trinh</t>
  </si>
  <si>
    <t>Hộ kinh doanh Đỗ Quý Nam</t>
  </si>
  <si>
    <t>Đỗ Quý Nam
'0941802888</t>
  </si>
  <si>
    <t>Thịt Gà Ác Nam Trinh</t>
  </si>
  <si>
    <t>Chả lụa Hằng Hương</t>
  </si>
  <si>
    <t>Hộ kinh doanh Nem chả Hằng Hương</t>
  </si>
  <si>
    <t>Ngyễn Thị Thảo
0902.740.668</t>
  </si>
  <si>
    <t>Bánh Tráng Hoàng Hiên</t>
  </si>
  <si>
    <t>Hộ kinh doanh Nguyễn Văn Sáu</t>
  </si>
  <si>
    <t>Nguyễn Văn Sáu
0905627977</t>
  </si>
  <si>
    <t>(35)</t>
  </si>
  <si>
    <t>Xã Trà Bồng (19 sp)</t>
  </si>
  <si>
    <t>Đông trùng hạ thảo sấy thăng hoa</t>
  </si>
  <si>
    <t>Hộ kinh doanh đông trùng hạ thảo núi Cà Đam</t>
  </si>
  <si>
    <t>Ao Thị Như Ý
039661900</t>
  </si>
  <si>
    <t xml:space="preserve">4612/QĐ-UBND ngày 31/12/2024 của UBND huyện Trà Bồng </t>
  </si>
  <si>
    <t>Trà đông trùng thảo mộc</t>
  </si>
  <si>
    <t>Nước đông trùng hạt sen</t>
  </si>
  <si>
    <t>Đậu xanh Cường Thịnh</t>
  </si>
  <si>
    <t>Hộ kinh doanh Cường Thịnh</t>
  </si>
  <si>
    <t>Huỳnh Thị Thanh Thủy
0818987898</t>
  </si>
  <si>
    <t>2991/QĐ-UBND ngày 13/6/2025 của UBND huyện Trà Bồng</t>
  </si>
  <si>
    <t>Đậu đen Cường Thịnh</t>
  </si>
  <si>
    <t>Đậu đỏ Cường Thịnh</t>
  </si>
  <si>
    <t>Mè đen Cường Thịnh</t>
  </si>
  <si>
    <t>Tinh dầu quế</t>
  </si>
  <si>
    <t>Công ty MTV dịch vụ 
- Thương mại Hiếu Dũng</t>
  </si>
  <si>
    <t>Trần Thị Minh Hiếu
0984504068</t>
  </si>
  <si>
    <t xml:space="preserve">5876/QĐ-UBND ngày 30/11/2023 của UBND huyện Trà Bồng </t>
  </si>
  <si>
    <t>Bột quế</t>
  </si>
  <si>
    <t>Nhang quế</t>
  </si>
  <si>
    <t>7125/QĐ-UBND  ngày 29/12/2023 của UBND huyện Trà Bồng</t>
  </si>
  <si>
    <t>Nước lau sàn quế</t>
  </si>
  <si>
    <t>Nhang quế Trà Bồng</t>
  </si>
  <si>
    <t>Công ty TNHH Hương Quế Trà Bồng</t>
  </si>
  <si>
    <t>Nguyễn Đức Lương
0914101935</t>
  </si>
  <si>
    <t>Nước lau sàn quế Trà Bồng</t>
  </si>
  <si>
    <t>5876/QĐ-UBND ngày 30/11/2023 của UBND huyện Trà Bồng</t>
  </si>
  <si>
    <t>Hàng thủ công mỹ nghệ từ vỏ quế</t>
  </si>
  <si>
    <t>Nước sửa tay Quế Trà Bồng</t>
  </si>
  <si>
    <t>Bột quế Trà Bồng</t>
  </si>
  <si>
    <t>Tinh dầu Quế</t>
  </si>
  <si>
    <t xml:space="preserve">1425/QĐ-UBND ngày 25/12/2023 của tỉnh </t>
  </si>
  <si>
    <t>Quế nguyên liệu Trà Bồng (Vỏ quế thân)</t>
  </si>
  <si>
    <t xml:space="preserve">Cốc nến Quế Trà Bồng </t>
  </si>
  <si>
    <t>(36)</t>
  </si>
  <si>
    <t>Xã Đông Trà Bồng (4 sp)</t>
  </si>
  <si>
    <t xml:space="preserve">Nhang Quế </t>
  </si>
  <si>
    <t>Công ty TNHH Wecay</t>
  </si>
  <si>
    <t>Đặng Thành Công
091 6525 236</t>
  </si>
  <si>
    <t>Bồ kết xông nhà thiên nhiên</t>
  </si>
  <si>
    <t>Gà kiến ủ muối Trà Bồng</t>
  </si>
  <si>
    <t>Hợp tác xã Nông nghiệp TM và DV tổng hợp xã Trà Bình</t>
  </si>
  <si>
    <t>Lê Văn Biên
0976576974</t>
  </si>
  <si>
    <t>Chuối sấy dẻo</t>
  </si>
  <si>
    <t>(37)</t>
  </si>
  <si>
    <t>Xã Thanh Bồng (1 sp)</t>
  </si>
  <si>
    <t>Nấm mối đen</t>
  </si>
  <si>
    <t>Hợp tác xã Nông nghiệp Công nghệ cao Trà Bồng</t>
  </si>
  <si>
    <t>Đặng Vỹ Thuyên
0971815281</t>
  </si>
  <si>
    <t>(38)</t>
  </si>
  <si>
    <t>Xã Sơn Tây (1 sp)</t>
  </si>
  <si>
    <t>Ổi Rupy</t>
  </si>
  <si>
    <t>Hợp tác xã sản xuất và kinh doanh dịch vụ nông nghiệp Sơn Long</t>
  </si>
  <si>
    <t>Trần Nhơn
0985832079</t>
  </si>
  <si>
    <t xml:space="preserve">2000/QĐ-UBND ngày 25/12/2023 của UBND huyện Sơn Tây </t>
  </si>
  <si>
    <t>(39)</t>
  </si>
  <si>
    <t>Xã Sơn Linh (2 sp)</t>
  </si>
  <si>
    <t>Dầu phụng Sơn Linh</t>
  </si>
  <si>
    <t>Hợp tác xã Dịch vụ Nông lâm nghiệp Sơn Linh</t>
  </si>
  <si>
    <t>Nguyễn Tuyên
0942817254</t>
  </si>
  <si>
    <t xml:space="preserve">269/QĐ-UBND ngày 26/12/2024 của UBND huyện Sơn Hà </t>
  </si>
  <si>
    <t>Dầu mè Lage</t>
  </si>
  <si>
    <t xml:space="preserve">63/QĐ-UBND ngày 05/6/2025 của UBND huyện Sơn Hà </t>
  </si>
  <si>
    <t>(40)</t>
  </si>
  <si>
    <t>Xã Sơn Hà (5 sp)</t>
  </si>
  <si>
    <t>Muối ớt xiêm xiêm SoHa</t>
  </si>
  <si>
    <t>HTX NN sạch Sơn Hà</t>
  </si>
  <si>
    <t>Phạm Đình Nghĩa
0911212170</t>
  </si>
  <si>
    <t>Thịt heo muối Bé Đen</t>
  </si>
  <si>
    <t>Hộ kinh doanh Trần Bình Trọng</t>
  </si>
  <si>
    <t>Trần Bình Trọng
0972378948</t>
  </si>
  <si>
    <t xml:space="preserve">03/QĐ-UBND ngày 15/01/2024 của UBND huyện Sơn Hà </t>
  </si>
  <si>
    <t>Cá lăng cắt lát Trung Mân</t>
  </si>
  <si>
    <t>Hộ kinh doanh Trung Mân</t>
  </si>
  <si>
    <t>Phạm Thị Mân
0983311172</t>
  </si>
  <si>
    <t>Thịt cá thác lát Trung Mân</t>
  </si>
  <si>
    <t>Cá Lăng gác bếp Plây Hrê</t>
  </si>
  <si>
    <t>Hộ kinh doanh Trinh Sơn Uyên</t>
  </si>
  <si>
    <t>Trinh Sơn Uyên</t>
  </si>
  <si>
    <t>(41)</t>
  </si>
  <si>
    <t>Xã Sơn Thủy (4 sp)</t>
  </si>
  <si>
    <t>Thị heo ky Khương Đình</t>
  </si>
  <si>
    <t>Hộ kinh doanh Tạ Đình Khương</t>
  </si>
  <si>
    <t xml:space="preserve"> Tạ Đình Khương
0983819135</t>
  </si>
  <si>
    <t>Dê núi Đình Khương</t>
  </si>
  <si>
    <t>Ổi Ngọc Lan</t>
  </si>
  <si>
    <t>Hợp tác xã Nông nghiệp hữu cơ Ngọc Lan</t>
  </si>
  <si>
    <t>Nguyễn Thị Hạnh
0814666152</t>
  </si>
  <si>
    <t>Chuối sấy dẻo Như Thư</t>
  </si>
  <si>
    <t>Hợp tác xã Nông nghiệp và Dịch vụ Sơn Thuỷ</t>
  </si>
  <si>
    <t>Đinh Văn Trun
0376638383</t>
  </si>
  <si>
    <t>(42)</t>
  </si>
  <si>
    <t>Xã Sơn Kỳ (1 sp)</t>
  </si>
  <si>
    <t>Chổi đót Đào Hoàng</t>
  </si>
  <si>
    <t>Hợp tác xã Nông nghiệp và dịch vụ Sơn Ba</t>
  </si>
  <si>
    <t>Nguyễn Tấn Hiệp
0941634540</t>
  </si>
  <si>
    <t>(43)</t>
  </si>
  <si>
    <t>Xã Sơn Tây Thượng (9 sp)</t>
  </si>
  <si>
    <t>Măng nứa khô Soli</t>
  </si>
  <si>
    <t>Hợp tác xã nông nghiệp và dịch vụ Sơn Liên</t>
  </si>
  <si>
    <t>Phạm Thị Trầm
0375493403</t>
  </si>
  <si>
    <t>Chuối sấy dẻo SOBU</t>
  </si>
  <si>
    <t xml:space="preserve">HTX Sản xuất nông lâm nghiệp và Thương mại dịch vụ
Sơn Bua
</t>
  </si>
  <si>
    <t>Lê Thị Ánh
0961201182</t>
  </si>
  <si>
    <t xml:space="preserve">2721/QĐ-UBND ngày 31/12/2024 của UBND huyện Sơn Tây </t>
  </si>
  <si>
    <t>Mật chuối SOBU</t>
  </si>
  <si>
    <t>Măng vót Sơn Tây sấy khô</t>
  </si>
  <si>
    <t>Măng vót Sơn Tây muối chua</t>
  </si>
  <si>
    <t>Măng vót Sơn Tây dầm tỏi ớt</t>
  </si>
  <si>
    <t>Trà búp Ổi Sobu</t>
  </si>
  <si>
    <t xml:space="preserve">731/QĐ-UBND ngày 19/6/2025 của UBND huyện Sơn Tây </t>
  </si>
  <si>
    <t>Rượu cốt tửu chuối</t>
  </si>
  <si>
    <t>(44)</t>
  </si>
  <si>
    <t>Xã Minh Long (4 sp)</t>
  </si>
  <si>
    <t>Thịt heo Ky Thành Tiến</t>
  </si>
  <si>
    <t>Hợp tác xã Dịch vụ Nông - Lâm Nghiệp Thành Tiến</t>
  </si>
  <si>
    <t>Đinh Văn Khó
0365427474</t>
  </si>
  <si>
    <t xml:space="preserve">1546/QĐ-UBND ngày 23/12/2023 của UBND huyện Minh Long </t>
  </si>
  <si>
    <t>Bánh tráng Hoàng Long</t>
  </si>
  <si>
    <t>Cơ sở sản xuất bánh tráng Hoàng Long</t>
  </si>
  <si>
    <t>Nguyễn Văn Tuấn
0972696025</t>
  </si>
  <si>
    <t>Trà Hiệp An Môn</t>
  </si>
  <si>
    <t>HTX Dịch vụ nông nghiệp Hải Hào</t>
  </si>
  <si>
    <t>Phạm Hoàng Hải
0984595352</t>
  </si>
  <si>
    <t>741/QĐ-UBND ngày 10/6/2025 của UBND huyện Minh Long</t>
  </si>
  <si>
    <t>Mật ong dú Hải Hào</t>
  </si>
  <si>
    <t>(45)</t>
  </si>
  <si>
    <t>Xã Sơn Mai (2 sp)</t>
  </si>
  <si>
    <t>Rượu men lá ĐK</t>
  </si>
  <si>
    <t>HTX Nông lâm
nghiệp Đoàn Kết</t>
  </si>
  <si>
    <t>Phạm Thị Như Ý
0869789248</t>
  </si>
  <si>
    <t>1795/QĐ-UBND ngày 31/12/2024 của UBND huyện Minh Long</t>
  </si>
  <si>
    <t>Tinh dầu ĐK</t>
  </si>
  <si>
    <t>(46)</t>
  </si>
  <si>
    <t>Xã Ba Vì (2 sp)</t>
  </si>
  <si>
    <t>Dầu phụng Đồng Tâm</t>
  </si>
  <si>
    <t>Hợp tác xã Đồng Tâm
 xã Ba Vì</t>
  </si>
  <si>
    <t>Nguyễn Đức Tài
0979707257</t>
  </si>
  <si>
    <t xml:space="preserve">3849/QĐ-UBND  ngày 29/12/2023 của UBND huyện Ba Tơ </t>
  </si>
  <si>
    <t>Măng vót ớt xiêm</t>
  </si>
  <si>
    <t>Hộ kinh doanh Vũ Đức Thắng</t>
  </si>
  <si>
    <t>Vũ Đức Thắng
0978817650</t>
  </si>
  <si>
    <t>201/QĐ-UBND ngày 31/12/2024 của UBND huyện Ba Tơ</t>
  </si>
  <si>
    <t>(47)</t>
  </si>
  <si>
    <t>Xã Ba Tô (1 sp)</t>
  </si>
  <si>
    <t>Gạo rẫy Phát Huy</t>
  </si>
  <si>
    <t>Hợp tác xã Nông nghiệp
xã Ba Tô</t>
  </si>
  <si>
    <t>Phạm Thị Vút
0965676071</t>
  </si>
  <si>
    <t>(48)</t>
  </si>
  <si>
    <t>Xã Ba Tơ (2 sp)</t>
  </si>
  <si>
    <t>Cá kho quyẹt Bà Quyên</t>
  </si>
  <si>
    <t>Hộ kinh doanh Huỳnh Thị Lệ Quyên</t>
  </si>
  <si>
    <t>Huỳnh Thị Lệ Quyên
'0914540406</t>
  </si>
  <si>
    <t>Trứng gà H’Mông</t>
  </si>
  <si>
    <t>Hợp tác xã Nông lâm nghiệp và Dịch vụ Ba Cung</t>
  </si>
  <si>
    <t>Nguyễn Văn Giang
0868388939</t>
  </si>
  <si>
    <t xml:space="preserve">103/QĐ-UBND  ngày 04/6/2025 của UBND huyện Ba Tơ </t>
  </si>
  <si>
    <t>(49)</t>
  </si>
  <si>
    <t>Xã Ba Động (8 sp)</t>
  </si>
  <si>
    <t>Thịt heo thảo dược</t>
  </si>
  <si>
    <t>Hợp tác xã Dịch vụ nông lâm thủy sản Trường An</t>
  </si>
  <si>
    <t>Võ Văn Vinh
0911346079</t>
  </si>
  <si>
    <t xml:space="preserve">2606/QĐ-UBND ngày 26/10/2023 của UBND huyện Ba Tơ </t>
  </si>
  <si>
    <t>Bắp chuối hàng nờm</t>
  </si>
  <si>
    <t xml:space="preserve">201/QĐ-UBND ngày 31/12/2024 của UBND huyện Ba Tơ </t>
  </si>
  <si>
    <t>Ớt xiêm ngâm mắm Tường Vy</t>
  </si>
  <si>
    <t>Hộ kinh doanh Tường Vy</t>
  </si>
  <si>
    <t>Phan Thị Quyến
0985553231</t>
  </si>
  <si>
    <t>Thịt trâu khô Tường Vy</t>
  </si>
  <si>
    <t>Cà vạt thổ cẩm Y Hòa</t>
  </si>
  <si>
    <t>Hộ kinh doanh Phạm Thị Y Hòa</t>
  </si>
  <si>
    <t>Phạm Thị Y Hoà
0966648774</t>
  </si>
  <si>
    <t>1425/QĐ-UBND tỉnh ngày 25/12/2023</t>
  </si>
  <si>
    <t>Túi xách thổ cẩm Y Hoà</t>
  </si>
  <si>
    <t>Khăn quàng cổ thổ cẩm Thị Sung</t>
  </si>
  <si>
    <t>Hộ kinh doanh thổ cẩm H’re Thị Sung</t>
  </si>
  <si>
    <t>Phạm Thị Sung
0388.181.086</t>
  </si>
  <si>
    <t>Váy thổ cẩm Thị Sung</t>
  </si>
  <si>
    <t>(50)</t>
  </si>
  <si>
    <t>Xã Đặng Thùy Trâm (1 sp)</t>
  </si>
  <si>
    <t>Ớt xiêm rừng ngâm mắm</t>
  </si>
  <si>
    <t>Hợp tác xã du lịch và nông nghiệp thảo nguyên Bùi Hui</t>
  </si>
  <si>
    <t>Lê Ngọc Thanh
0977857839</t>
  </si>
  <si>
    <t>(51)</t>
  </si>
  <si>
    <t>Xã Đăk Long (1 sp)</t>
  </si>
  <si>
    <t>Bánh Koat (bánh Quoat) địa phương</t>
  </si>
  <si>
    <t>Hộ kinh doanh Y Líp</t>
  </si>
  <si>
    <t>Y Líp
0379566490</t>
  </si>
  <si>
    <t>122/QĐ-UBND
 ngày 24/ 01/2025 của UBND H Đăk Glei</t>
  </si>
  <si>
    <t>(52)</t>
  </si>
  <si>
    <t>Xã Rờ Kơi (3 sp)</t>
  </si>
  <si>
    <t xml:space="preserve">Mít thái </t>
  </si>
  <si>
    <t>Hợp tác xã Thái Thanh</t>
  </si>
  <si>
    <t>Nguyễn Duy Lơ
0988428235</t>
  </si>
  <si>
    <t>1995/QĐ-UBND ngày 28/12/2023 của UBND H Sa Thầy</t>
  </si>
  <si>
    <t>Sầu riêng Mosanking</t>
  </si>
  <si>
    <t>Sầu riêng Monthong</t>
  </si>
  <si>
    <t>(53)</t>
  </si>
  <si>
    <t>Xã Ngọk Bay (1 sp)</t>
  </si>
  <si>
    <t>Nấm Bào Ngư Xám</t>
  </si>
  <si>
    <t>Hợp tác xã hữu cơ BIOLOGY</t>
  </si>
  <si>
    <t>Lê Thị Khánh Ly
0388226939</t>
  </si>
  <si>
    <t>150/QĐ-UBND 
ngày 16/01/2024 của UBND TP Kon Tum</t>
  </si>
  <si>
    <t>(54)</t>
  </si>
  <si>
    <t>Xã Ia Chim (1 sp)</t>
  </si>
  <si>
    <t>Yến sạch Thành Đạt Đak Năng</t>
  </si>
  <si>
    <t>Hợp tác xã Thành Đạt</t>
  </si>
  <si>
    <t>Nguyễn Văn Thiệu
0359388555</t>
  </si>
  <si>
    <t>(55)</t>
  </si>
  <si>
    <t>Xã Đăk Rơ Wa (1 sp)</t>
  </si>
  <si>
    <t>Rượu sâm đông trùng hạ thảo Sao Mai Kon Tum</t>
  </si>
  <si>
    <t>Công ty TNHH Chế biến nông sản Sao Mai</t>
  </si>
  <si>
    <t>Nguyễn Đình Thảo
02363696668</t>
  </si>
  <si>
    <t>2148/QĐ-UBND
 ngày 13/9/2024 của UBND TP Kon Tum</t>
  </si>
  <si>
    <t>(56)</t>
  </si>
  <si>
    <t>Xã Đăk Mar (3 sp)</t>
  </si>
  <si>
    <t>Hạt mắc ca rang mộc</t>
  </si>
  <si>
    <t>HTX Mắc ca Thành Công Đăk Hà</t>
  </si>
  <si>
    <t>Trần Xuân Dũng
0988163369</t>
  </si>
  <si>
    <t>30/QĐ-UBND ngày 17/01/2025 của 
UBND huyện Đăk Hà</t>
  </si>
  <si>
    <t>Chuối sấy Joy</t>
  </si>
  <si>
    <t>Công ty TNHH APANAX</t>
  </si>
  <si>
    <t>Nguyễn Thị Minh Ngọc
0777 212 888</t>
  </si>
  <si>
    <t>357/QĐ-UBND ngày 18/6/2024 của UBND tỉnh Kon Tum</t>
  </si>
  <si>
    <t>Mít sấy OHJOY</t>
  </si>
  <si>
    <t>(57)</t>
  </si>
  <si>
    <t>Xã Đăk Ui (2 sp)</t>
  </si>
  <si>
    <t>Hải Tình Coffee</t>
  </si>
  <si>
    <t>Hộ kinh doanh Lương Thanh Long</t>
  </si>
  <si>
    <t>Lương Thanh Long
0905339393</t>
  </si>
  <si>
    <t>Gạo đỏ</t>
  </si>
  <si>
    <t>Hộ kinh doanh A Thuần</t>
  </si>
  <si>
    <t xml:space="preserve"> A Thuần
0974029680</t>
  </si>
  <si>
    <t>52/QĐ-UBND ngày 24/01/2024 của UBND Huyện Đăk Hà</t>
  </si>
  <si>
    <t>(58)</t>
  </si>
  <si>
    <t>Xã Ngọk Réo (3 sp)</t>
  </si>
  <si>
    <t>Măng le (tre, nứa) khô</t>
  </si>
  <si>
    <t>Tổ hợp tác Khai thác, thu mua, chế biến măng khô thôn Đăk Têng</t>
  </si>
  <si>
    <t>Nguyễn Thị Thu Hà
0395 556 396</t>
  </si>
  <si>
    <t>Cam sành, quýt</t>
  </si>
  <si>
    <t>HTX trái cây Ngọk Wang</t>
  </si>
  <si>
    <t>Nguyễn Luật
0848761761</t>
  </si>
  <si>
    <t>Hộ kinh doanh Trần Văn Dũng</t>
  </si>
  <si>
    <t>Trần Văn Dũng
0902225550</t>
  </si>
  <si>
    <t>(59)</t>
  </si>
  <si>
    <t>Xã Đăk Hà (15 sp)</t>
  </si>
  <si>
    <t>Trà túi lọc Lạc tiên</t>
  </si>
  <si>
    <t>HTX Tân Sang Hoàng</t>
  </si>
  <si>
    <t>Trần Văn Ngà
0977237757</t>
  </si>
  <si>
    <t>Trà túi lọc khổ qua rừng</t>
  </si>
  <si>
    <t>Gạo thơm ĐăkLa (Đài thơm 8)</t>
  </si>
  <si>
    <t>HTX SXKD chế biến cà phê bột Vy Phú Hoàng</t>
  </si>
  <si>
    <t>Bùi Văn Thừa
0986782189</t>
  </si>
  <si>
    <t>Cà phê Vy Phú Hoàng2</t>
  </si>
  <si>
    <t>341/QĐ-UBND ngày 27/5/2024 của UBND huyện Đăk Hà</t>
  </si>
  <si>
    <t>Cam sành Hòa Thủy</t>
  </si>
  <si>
    <t>Hộ kinh doanh Trịnh Đình Hòa</t>
  </si>
  <si>
    <t>Trịnh Đình Hòa
0905127114</t>
  </si>
  <si>
    <t>số 30/QĐ-UBND 
ngày 17/01/2025 của 
UBND huyện Đăk Hà</t>
  </si>
  <si>
    <t>Cà phê bột pha phin Laduvi coffee</t>
  </si>
  <si>
    <t xml:space="preserve">Hộ kinh doanh Laduvi </t>
  </si>
  <si>
    <t>Lê Thị Kim Dung
0979941613</t>
  </si>
  <si>
    <t>Cà phê hạt Laduvi coffee</t>
  </si>
  <si>
    <t>Cà phê hoà tan đẳng sâm Ngọc Linh (3 in 1)</t>
  </si>
  <si>
    <t>Công ty cổ phần Cà phê Đăk Hà</t>
  </si>
  <si>
    <t>Hà Thị Quyên
0914517117</t>
  </si>
  <si>
    <t>588/QĐ-UBND ngày 29/6/2025 của UBND tỉnh Kon Tum</t>
  </si>
  <si>
    <t>Cà phê hoà tan đẳng sâm Ngọc Linh (4 in 1)</t>
  </si>
  <si>
    <t>Cà phê bột đặc sản nguyên chất</t>
  </si>
  <si>
    <t>Tinh Coffee</t>
  </si>
  <si>
    <t>Hợp tác xã Nông nghiệp, sản xuất và thương mại Sáu Nhung</t>
  </si>
  <si>
    <t>Nguyễn Tri Sáu
0977413287 
0903563989</t>
  </si>
  <si>
    <t>Cà phê sữa thượng hạng</t>
  </si>
  <si>
    <t>Cà phê Sầu riêng</t>
  </si>
  <si>
    <t>Cà phê đặc biệt</t>
  </si>
  <si>
    <t>Cà phê Sâm</t>
  </si>
  <si>
    <t>(60)</t>
  </si>
  <si>
    <t>Xã Ngọk Tụ (2 sp)</t>
  </si>
  <si>
    <t>Thịt heo hun khói</t>
  </si>
  <si>
    <t>Hộ kinh doanh  U Thị Bích Liên</t>
  </si>
  <si>
    <t>U Thị Bích Liên</t>
  </si>
  <si>
    <t>586 /QĐ-UBND ngày 27/10/2023 của UBND huyện Đăk Tô</t>
  </si>
  <si>
    <t>Sản phẩm Ơi rừng coffee</t>
  </si>
  <si>
    <t>Hộ kinh doanh Nguyễn Ngọc Hạnh</t>
  </si>
  <si>
    <t>Nguyễn Ngọc Hạnh</t>
  </si>
  <si>
    <t>344/QĐ-UBND ngày 04/7/2024 
của UBND huyện Đăk Tô</t>
  </si>
  <si>
    <t>(61)</t>
  </si>
  <si>
    <t>Xã Đăk Tô (17 sp)</t>
  </si>
  <si>
    <t>Cà phê nguyên chất Đức Dung</t>
  </si>
  <si>
    <t>Hợp tác xã Đức Dung</t>
  </si>
  <si>
    <t>Phan Duy Tùng
060832439</t>
  </si>
  <si>
    <t>586 /QĐ-UBND ngày 27/10/2023  của UBND huyện Đăk Tô</t>
  </si>
  <si>
    <t>Thịt heo rim</t>
  </si>
  <si>
    <t>Hợp tác xã Ông Tiến Food</t>
  </si>
  <si>
    <t>Trần Văn Tiến
0782755345</t>
  </si>
  <si>
    <t>587 /QĐ-UBND ngày 27/10/2023  của UBND huyện Đăk Tô</t>
  </si>
  <si>
    <t>Thịt bò rim</t>
  </si>
  <si>
    <t>588 /QĐ-UBND ngày 27/10/2023  của UBND huyện Đăk Tô</t>
  </si>
  <si>
    <t>Sản phẩm cà phê bột</t>
  </si>
  <si>
    <t>Công ty TNHH MTV Thảo Mộc Bắc Tây Nguyên</t>
  </si>
  <si>
    <t>Y Hoa
0973515454</t>
  </si>
  <si>
    <t>344/QĐ-UBND ngày 04/7/2024 của UBND huyện Đăk Tô</t>
  </si>
  <si>
    <t>Yến sào Tuấn Anh</t>
  </si>
  <si>
    <t>Hộ Kinh Doanh Phạm Thị Huyền</t>
  </si>
  <si>
    <t>Phạm Thị Huyền
0975141775</t>
  </si>
  <si>
    <t>Rượu nếp than vắt</t>
  </si>
  <si>
    <t>Hộ Kinh Doanh Y Lang</t>
  </si>
  <si>
    <t>Y Lang
0702693026</t>
  </si>
  <si>
    <t>s</t>
  </si>
  <si>
    <t>Trà sâm dây Ngọc linh</t>
  </si>
  <si>
    <t>Công ty TNHH thảo dược Tây Nguyên</t>
  </si>
  <si>
    <t>Lương Thị Mỹ Huệ
0962.250.987
hoặc 
‭098 5797368</t>
  </si>
  <si>
    <t>48/QĐ-UBND ngày 13/2/2025 của UBND huyện Đăk Tô</t>
  </si>
  <si>
    <t>Trà khổ qua rừng</t>
  </si>
  <si>
    <t>Trà sâm lạc tiên</t>
  </si>
  <si>
    <t xml:space="preserve"> Mứt sâm dây Ngọc Linh</t>
  </si>
  <si>
    <t>Tinh chất sâm sây Ngọc Linh Mật ong</t>
  </si>
  <si>
    <t>Tinh chất nghệ Mật ong</t>
  </si>
  <si>
    <t>Tinh chất gừng nhân sâm mật ong</t>
  </si>
  <si>
    <t>Trà gừng Nhân sâm</t>
  </si>
  <si>
    <t>Tinh chất chanh dây nhân sâm mật ong</t>
  </si>
  <si>
    <t>Mắc ca tách nứt</t>
  </si>
  <si>
    <t>Công ty TNHH MACCA HD</t>
  </si>
  <si>
    <t>Dương Văn Ngọc
0983283344</t>
  </si>
  <si>
    <t>48/QĐ-UBND ngày 13/2/2025của UBND huyện Đăk Tô</t>
  </si>
  <si>
    <t>Cà phê thuần mộc</t>
  </si>
  <si>
    <t>Hợp tác xã Phước An Bình</t>
  </si>
  <si>
    <t>Bùi Tấn Hùng
0909839005</t>
  </si>
  <si>
    <t>(62)</t>
  </si>
  <si>
    <t>Xã Kon Đào (3 sp)</t>
  </si>
  <si>
    <t>Mắc ca sấy nứt</t>
  </si>
  <si>
    <t>Hợp tác xã Mắc ca Nhân Hòa</t>
  </si>
  <si>
    <t>Nguyễn Văn Quyết
0903443648</t>
  </si>
  <si>
    <t>586/QĐ-UBND ngày 27/10/2023 của UBND huyện Đăk Tô</t>
  </si>
  <si>
    <t>Sản phẩm Trà thảo mộc (trà giấc ngủ)</t>
  </si>
  <si>
    <t>HTX Trồng rừng hôm nay</t>
  </si>
  <si>
    <t>Nguyễn Văn Sử
0911486557</t>
  </si>
  <si>
    <t>Ngọc Linh sơn sâm trà</t>
  </si>
  <si>
    <t>(63)</t>
  </si>
  <si>
    <t>Xã Đăk Sao (5 sp)</t>
  </si>
  <si>
    <t>Rượu ngũ vị tử</t>
  </si>
  <si>
    <t>Hộ kinh doanh Y Phương</t>
  </si>
  <si>
    <t>Y Phương
0963449079</t>
  </si>
  <si>
    <t>604 /QĐ-UBND ngày 19/12/2023 của UBND huyện Tu Mơ Rông</t>
  </si>
  <si>
    <t>Vang sơn tra</t>
  </si>
  <si>
    <t>Hợp tác xã Du lịch và Dược liệu xanh Siu Puông</t>
  </si>
  <si>
    <t xml:space="preserve">Võ Nguyên Sinh
0972792378 </t>
  </si>
  <si>
    <t>226/QĐ-UBND 
ngày 29/5/2025 của  UBND  huyện Tu Mơ Rông</t>
  </si>
  <si>
    <t>Bột hồng sâm</t>
  </si>
  <si>
    <t>Trà sâm Siu Puông</t>
  </si>
  <si>
    <t>Hồng sâm (mật ong ngâm sâm dây)</t>
  </si>
  <si>
    <t>(64)</t>
  </si>
  <si>
    <t>Xã Đăk Tờ Kan (5 sp)</t>
  </si>
  <si>
    <t>Rượu sâm dây Ngọc Linh An Thành</t>
  </si>
  <si>
    <t>Hợp tác xã Thương mại tổng hợp Trồng và Chế biến dược liệu An Thành</t>
  </si>
  <si>
    <t>Lê Thị Đào
0981308468</t>
  </si>
  <si>
    <t>604/QĐ-UBND ngày 19/12/2023 của UBND huyện Tu Mơ Rông</t>
  </si>
  <si>
    <t>Trà sâm dây Ngọc Linh An Thành</t>
  </si>
  <si>
    <t>Rượu nếp cẩm An Thành</t>
  </si>
  <si>
    <t>Rượu ngũ vị tử An Thành</t>
  </si>
  <si>
    <t>Rượu ngũ vị tử lên men An Thành</t>
  </si>
  <si>
    <t>(65)</t>
  </si>
  <si>
    <t>Xã Tu Mơ Rông (3 sp)</t>
  </si>
  <si>
    <t>Trà sâm dây</t>
  </si>
  <si>
    <t>Công ty TNHH Trần Gia ĐTKT</t>
  </si>
  <si>
    <t>Trần Thị Như Ý
0965477768</t>
  </si>
  <si>
    <t>Cà phê Trần Nghĩa</t>
  </si>
  <si>
    <t>Cà phê đặc sản (cà phê nhân)</t>
  </si>
  <si>
    <t>Hộ kinh doanh Linh - KWA</t>
  </si>
  <si>
    <t>Nguyễn Văn Duy</t>
  </si>
  <si>
    <t>(66)</t>
  </si>
  <si>
    <t>Xã Măng Ri (17 sp)</t>
  </si>
  <si>
    <t>Trà sâm dây Ngọc Linh</t>
  </si>
  <si>
    <t>Công ty Cổ phần Sâm Ngọc Linh Tu Mơ Rông Kon Tum</t>
  </si>
  <si>
    <t xml:space="preserve">Trần Đức An
0982450229 </t>
  </si>
  <si>
    <t>918/QĐ-UBND ngày  10/12/2024 của UBND huyện Tu Mơ Rông</t>
  </si>
  <si>
    <t>Rượu đẳng sâm ngũ vị tử</t>
  </si>
  <si>
    <t>Nước chiết xuất hồng đẳng sâm</t>
  </si>
  <si>
    <t>Thạch collagen Sâm Ngọc Linh</t>
  </si>
  <si>
    <t>Nước chiết xuất Sâm Ngọc Linh</t>
  </si>
  <si>
    <t>Rượu Sâm Ngọc Linh K5 Premium</t>
  </si>
  <si>
    <t>Công ty cổ phần Vingin</t>
  </si>
  <si>
    <t>Nguyễn Khoa Đăng
0905078879</t>
  </si>
  <si>
    <t>357/QĐ-UBND ngày 18/6/2024  của UBND  tỉnh Kon Tum</t>
  </si>
  <si>
    <t>Rượu Quốc tửu K5</t>
  </si>
  <si>
    <t>Rượu sâm Ngọc Linh  K5 (Nhãn xanh)</t>
  </si>
  <si>
    <t>139/QĐ-UBND ngày 19/3/2025 
của UBND tỉnh Kon Tum</t>
  </si>
  <si>
    <t>Rượu sâm Ngọc Linh  K5 (Nhãn vàng)</t>
  </si>
  <si>
    <t>Thực phẩm bổ sung: K5 Sâm Ngọc Linh  Mật Ong</t>
  </si>
  <si>
    <t>Thực phẩm bổ sung nước tăng lực Sâm Ngọc Linh K5 mật ong</t>
  </si>
  <si>
    <t>Thực phẩm bổ sung nước tăng lực Sâm Ngọc Linh K5 dâu tây đỏ</t>
  </si>
  <si>
    <t>Thực phẩm bổ sung nước tăng lực Sâm Ngọc Linh K5</t>
  </si>
  <si>
    <t>Thực phẩm bổ sung K5 chanh khoáng Sâm Ngọc Linh</t>
  </si>
  <si>
    <t xml:space="preserve">Thực phẩm bổ sung Collagen sâm Ngọc Linh - tổ yến Noliko+ </t>
  </si>
  <si>
    <t>604/QĐ-UBND ngày 19/12/2023  của UBND huyện Tu Mơ Rông</t>
  </si>
  <si>
    <t xml:space="preserve">Tổ yến Sâm Ngọc Linh </t>
  </si>
  <si>
    <t>Bột sâm dây Thăng Hoa</t>
  </si>
  <si>
    <t>Hợp tác xã Cộng đồng phụ nữ Đăk Viên</t>
  </si>
  <si>
    <t>Y Pốt
0384735087</t>
  </si>
  <si>
    <t>(67)</t>
  </si>
  <si>
    <t>Xã Bờ Y (5 sp)</t>
  </si>
  <si>
    <t>Sầu riêng Ba Biên</t>
  </si>
  <si>
    <t>THT Ba Biên</t>
  </si>
  <si>
    <t>1353/QĐ-UBND ngày 8/11/2023 của 
UBDN H Ngọc Hồi</t>
  </si>
  <si>
    <t>Măng chua</t>
  </si>
  <si>
    <t>Hộ kinh doanh Hà Thị Minh Học</t>
  </si>
  <si>
    <t>Hà Thị Minh Học
0985793659</t>
  </si>
  <si>
    <t xml:space="preserve">1615/QĐ-UBND ngày 29/12/2023 
của UBDN huyện Ngọc Hồi
</t>
  </si>
  <si>
    <t>Cà phê bột King Kông</t>
  </si>
  <si>
    <t>Hộ kinh doanh Nguyễn Thị Thục</t>
  </si>
  <si>
    <t>Nguyễn Thị Thục
0975855382</t>
  </si>
  <si>
    <t>1615/QĐ-UBND ngày 29/12/2023 
của UBDN huyện Ngọc Hồi</t>
  </si>
  <si>
    <t>Chuối sấy dẻo Như Sa</t>
  </si>
  <si>
    <t>Hộ kinh doanh nông sản Salem</t>
  </si>
  <si>
    <t>Nguyễn Lệ Như Sa
0976999827</t>
  </si>
  <si>
    <t>63/QĐ-UBND ngày  17/01/2025
của UBDN H Ngọc Hồi</t>
  </si>
  <si>
    <t>Hạt Mắc ca</t>
  </si>
  <si>
    <t>(68)</t>
  </si>
  <si>
    <t>Xã Sa Loong (4 sp)</t>
  </si>
  <si>
    <t>Thịt heo gác bếp</t>
  </si>
  <si>
    <t>THT Bun Ngai</t>
  </si>
  <si>
    <t>THT Bun Ngai
0981965403</t>
  </si>
  <si>
    <t>Rượu vắt nếp than</t>
  </si>
  <si>
    <t>Hộ kinh doanh Đinh Thị Tuyết</t>
  </si>
  <si>
    <t>Đinh Thị Tuyết</t>
  </si>
  <si>
    <t>Hạt Mắc ca Hill</t>
  </si>
  <si>
    <t>Hợp tác xã Nông nghiệp và Dịch vụ thương mại Đức Hân</t>
  </si>
  <si>
    <t xml:space="preserve">Nguyễn Thị Bình
0941677477 </t>
  </si>
  <si>
    <t>63/QĐ-UBND ngày 17/01/2025
của UBDN H Ngọc Hồi</t>
  </si>
  <si>
    <t>Gạo DAKA</t>
  </si>
  <si>
    <t>Hợp tác xã Dịch vụ nông nghiệp Đăk Kan</t>
  </si>
  <si>
    <t>Nguyễn Công Hoàn
0347865513</t>
  </si>
  <si>
    <t>(69)</t>
  </si>
  <si>
    <t>Xã Dục Nông (7 sp)</t>
  </si>
  <si>
    <t>Tinh dầu sả Java</t>
  </si>
  <si>
    <t>Hợp tác xã Nông nghiệp Đăk Ang</t>
  </si>
  <si>
    <t>Trần Khắc Thịnh
0973457789
0349242208</t>
  </si>
  <si>
    <t xml:space="preserve">63/QĐ-UBND ngày 17/01/2025
của UBDN H Ngọc Hồi
</t>
  </si>
  <si>
    <t>Muối tiêu sả chanh</t>
  </si>
  <si>
    <t>HTX Dục Nông</t>
  </si>
  <si>
    <t xml:space="preserve">Chị Y Thun
0356252672 </t>
  </si>
  <si>
    <t>Rượu ghè men lá</t>
  </si>
  <si>
    <t>Nhang trầm hương</t>
  </si>
  <si>
    <t>Hộ kinh doanh Nguyễn Xuân Giao</t>
  </si>
  <si>
    <t>Nguyễn Xuân Giao
0822395959</t>
  </si>
  <si>
    <t>Cải khô lên men bằng ống lồ ô tươi</t>
  </si>
  <si>
    <t>Hộ kinh doanh Y Tuân</t>
  </si>
  <si>
    <t>Y Tuân
0372530682</t>
  </si>
  <si>
    <t>63/QĐ-UBND ngày 17/01/2025
của UBND H Ngọc Hồi</t>
  </si>
  <si>
    <t>Thịt bò cỏ gác bếp</t>
  </si>
  <si>
    <t>Hộ kinh doanh Y Tươi</t>
  </si>
  <si>
    <t xml:space="preserve"> Y Tươi
0898352783</t>
  </si>
  <si>
    <t>(70)</t>
  </si>
  <si>
    <t>Xã Xốp (3 sp)</t>
  </si>
  <si>
    <t>Mắc ca sấy khô</t>
  </si>
  <si>
    <t>Hợp tác xã Nông nghiệp Sinh thái 
Phượng Hoàng</t>
  </si>
  <si>
    <t>Huỳnh Thị Phượng
0363287849</t>
  </si>
  <si>
    <t>122/QĐ-UBND ngày 24/01/2025 của UBND H Đăk Glei</t>
  </si>
  <si>
    <t>Cà phê Phượng Hoàng</t>
  </si>
  <si>
    <t>Cà phê Hồ Đăk Tin</t>
  </si>
  <si>
    <t>Hộ kinh doanh Võ Thị Phương</t>
  </si>
  <si>
    <t>Võ Thị Phương
0987584057</t>
  </si>
  <si>
    <t>(71)</t>
  </si>
  <si>
    <t>Xã Đăk Plô (3 sp)</t>
  </si>
  <si>
    <t>Gạo sạch</t>
  </si>
  <si>
    <t xml:space="preserve">Hợp tác xã Nông nghiệp và Dược liệu 
Đăk Plô </t>
  </si>
  <si>
    <t>Nguyến Đức Viết
097331.833</t>
  </si>
  <si>
    <t>Quả Bí trắng</t>
  </si>
  <si>
    <t>Hộ kinh doanh A Cu</t>
  </si>
  <si>
    <t>A Cu
0975791562</t>
  </si>
  <si>
    <t>Thịt khô gác bếp</t>
  </si>
  <si>
    <t>Hộ kinh doanh  Y Giống</t>
  </si>
  <si>
    <t>Y Giống
037383446</t>
  </si>
  <si>
    <t>(72)</t>
  </si>
  <si>
    <t>Xã Đăk Pek (10 sp)</t>
  </si>
  <si>
    <t>Mắc ca sấy Đăk Glei</t>
  </si>
  <si>
    <t>Măng khô Đăk Glei</t>
  </si>
  <si>
    <t>Sâm dây Ngọc Linh TP</t>
  </si>
  <si>
    <t>Hộ kinh doanh Y Lý Huyền</t>
  </si>
  <si>
    <t>Y Lý Huyền
0934815464</t>
  </si>
  <si>
    <t>Rượu Sâm dây Ngọc Linh</t>
  </si>
  <si>
    <t>Hợp tác xã sản xuất và TMDV cung ứng Dược liệu Thuận Tài</t>
  </si>
  <si>
    <t>Lê Viết Tài
0984790003</t>
  </si>
  <si>
    <t>Sâm dây Ngọc Linh</t>
  </si>
  <si>
    <t>Heo gác bếp</t>
  </si>
  <si>
    <t>Hộ kinh doanh Bảo Châu</t>
  </si>
  <si>
    <t>Y Nguyễn Thị Hiếm 
0349749963</t>
  </si>
  <si>
    <t>Măng chua Bà Nước</t>
  </si>
  <si>
    <t>Hộ kinh doanh A Thảo</t>
  </si>
  <si>
    <t>A Thảo
0358153087</t>
  </si>
  <si>
    <t xml:space="preserve">Bò một nắng Đăk Glei </t>
  </si>
  <si>
    <t>Hợp tác xã dịch vụ nông nghiệp sạch Đăk Glei</t>
  </si>
  <si>
    <t>Nguyễn Hoàng Chương
0972214761</t>
  </si>
  <si>
    <t>Muối cá giã Hạnh Chạch</t>
  </si>
  <si>
    <t>Hộ kinh doanh Hạnh Chạch</t>
  </si>
  <si>
    <t>Thái Thị Hạnh
0976883739</t>
  </si>
  <si>
    <t>122/QĐ-UBND ngày 24/01/2025 của 
UBND H Đăk Glei</t>
  </si>
  <si>
    <t>(73)</t>
  </si>
  <si>
    <t>Xã Sa Thầy (9 sp)</t>
  </si>
  <si>
    <t>Tôm Yali kho tộ</t>
  </si>
  <si>
    <t>Công ty TNHH 
Thực phẩm NHS</t>
  </si>
  <si>
    <t xml:space="preserve">Nguyễn Đức Hoàng
0931611234 </t>
  </si>
  <si>
    <t>2548/QĐ-UBND ngày 23/12/2024 
của UBND H Sa Thầy</t>
  </si>
  <si>
    <t>Bò cỏ Chư Mom Ray</t>
  </si>
  <si>
    <t>1995/QĐ-UBND ngày 28/12/2023 
của UBND H Sa Thầy</t>
  </si>
  <si>
    <t>Lẩu gà Sâm dây Ngọc Linh</t>
  </si>
  <si>
    <t>Muối kiến tiêu rừng</t>
  </si>
  <si>
    <t>Muối tiêu sả rừng</t>
  </si>
  <si>
    <t>Cá mương 1 nắng</t>
  </si>
  <si>
    <t xml:space="preserve">Sầu Riêng MonThong </t>
  </si>
  <si>
    <t>Hộ kinh doanh cá thể</t>
  </si>
  <si>
    <t>Nguyễn Đức Thuận
0979193782</t>
  </si>
  <si>
    <t>Sầu riêng Dona</t>
  </si>
  <si>
    <t>Hộ kinh doanh cá thể Nguyễn Đức Thuận</t>
  </si>
  <si>
    <t>Cam Úc</t>
  </si>
  <si>
    <t>(74)</t>
  </si>
  <si>
    <t>Xã Sa Bình (7 sp)</t>
  </si>
  <si>
    <t>Cà phê hạt Tân Sang</t>
  </si>
  <si>
    <t>Hợp tác xã Nông nghiệp và Dịch vụ thương mại Hợp Tiến</t>
  </si>
  <si>
    <t>Nguyễn Công Thuỵ
0367620078</t>
  </si>
  <si>
    <t>Cà phê bột Tân Sang</t>
  </si>
  <si>
    <t>Sầu riêng MonThong Tân Hợp</t>
  </si>
  <si>
    <t>Hợp tác xã Nông nghiệp và Dịch
vụ thương mại Tân Hợp</t>
  </si>
  <si>
    <t>Nguyễn Văn Chinh
0338927479</t>
  </si>
  <si>
    <t>Tinh bột nghệ</t>
  </si>
  <si>
    <t>Hợp tác xã Nông nghiệp và Dịch
vụ Thuận Phát</t>
  </si>
  <si>
    <t xml:space="preserve">Phạm Văn Cầu 
0399839755 </t>
  </si>
  <si>
    <t>Cà phê hòa tan Hơ Moong</t>
  </si>
  <si>
    <t>HTX Nông nghiệp Công nghệ cao Nghĩa Tân</t>
  </si>
  <si>
    <t xml:space="preserve">Phạm Minh Hoàng
0918365557 </t>
  </si>
  <si>
    <t>Cà phê hạt Hơ Moong</t>
  </si>
  <si>
    <t>Cà phê bột Hơ Moong</t>
  </si>
  <si>
    <t>(75)</t>
  </si>
  <si>
    <t>Xã Ya Ly (3 sản phẩm)</t>
  </si>
  <si>
    <t>Cá lóc khô lòng hồ thủy điện Ya Ly</t>
  </si>
  <si>
    <t>Hợp tác xã Thủy sản và Dịch vụ
thương mại Ya Ly</t>
  </si>
  <si>
    <t>Võ Đình Sơn
0378126247</t>
  </si>
  <si>
    <t>Tôm khô lòng hồ thủy điện Ya Ly</t>
  </si>
  <si>
    <t>Sầu Riêng DoNa</t>
  </si>
  <si>
    <t>(76)</t>
  </si>
  <si>
    <t>Xã Ia Tơi (12 sp)</t>
  </si>
  <si>
    <t>Yến sào Duy Khánh Tây Nguyên</t>
  </si>
  <si>
    <t>Hợp tác xã nông - lâm nghiệp Ia HDrai</t>
  </si>
  <si>
    <t>Nguyễn Chí Công
0975719062</t>
  </si>
  <si>
    <t>08/QĐ-UBND ngày 19/01/2024 của UBND huyện Ia H'Drai</t>
  </si>
  <si>
    <t>Yến sơ mướp Duy Khánh Tây Nguyên</t>
  </si>
  <si>
    <t>Yến baby Duy Khánh Tây Nguyên</t>
  </si>
  <si>
    <t>Yến sợi tinh chế Duy Khánh Tây Nguyên</t>
  </si>
  <si>
    <t>Rượu nhung hươu Đồng Tiến</t>
  </si>
  <si>
    <t>Hợp tác xã nông nghiệp Đồng Tiến</t>
  </si>
  <si>
    <t>Nguyễn Xuân Tiến
0377232136</t>
  </si>
  <si>
    <t>101/QĐ-UBND ngày 14/5/2024 của UBND huyện Ia H'Drai</t>
  </si>
  <si>
    <t>Rượu sâm nhung Đồng Tiến</t>
  </si>
  <si>
    <t>Nhung hươu khô Đồng Tiến</t>
  </si>
  <si>
    <t>Nhung hươu ngâm mật ong Đồng Tiến</t>
  </si>
  <si>
    <t>Bột nhung hươu Đồng Tiến</t>
  </si>
  <si>
    <t>Nhung hươu tươi Đồng Tiến</t>
  </si>
  <si>
    <t>Bánh tráng cá cơm SESAN</t>
  </si>
  <si>
    <t>Hợp tác xã Sê San</t>
  </si>
  <si>
    <t>Nguyễn Thành Nhân
0342935553</t>
  </si>
  <si>
    <t xml:space="preserve">Cá cơm SESAN chế biến sẵn </t>
  </si>
  <si>
    <t>(77)</t>
  </si>
  <si>
    <t>Xã Đăk Kôi (5 sp)</t>
  </si>
  <si>
    <t>Gà đồi Đăk Kôi</t>
  </si>
  <si>
    <t>Hợp tác xã nông nghiệp và dịch vụ tổng hợp Đăk Kôi</t>
  </si>
  <si>
    <t>A Hội
0987558094</t>
  </si>
  <si>
    <t>Chuối sấy giòn Bà Già Đeo</t>
  </si>
  <si>
    <t>Hộ kinh doanh Bà Già Đeo</t>
  </si>
  <si>
    <t>Ngô Thị Ly
0973799333</t>
  </si>
  <si>
    <t>196/QĐ-UBND ngày 22/02/2024 của UBND huyện Kon Rẫy</t>
  </si>
  <si>
    <t>Bánh mầm gạo Mắc Ca Litugo</t>
  </si>
  <si>
    <t>Hợp tác xã Đăk Tơ Lung Xanh</t>
  </si>
  <si>
    <t xml:space="preserve">Ngô Thị Ly
0973799333 </t>
  </si>
  <si>
    <t xml:space="preserve"> 3 sao</t>
  </si>
  <si>
    <t xml:space="preserve"> 08/QĐ-UBND  ngày 13/01/2025
 của UBND huyện Kon Rẫy</t>
  </si>
  <si>
    <t>Nước chuối lên men Litugo</t>
  </si>
  <si>
    <t>Rượu cần Y Thơi</t>
  </si>
  <si>
    <t>Hộ kinh doanh rượu cần Y Thơi</t>
  </si>
  <si>
    <t>Y Thơi
0373 931 295</t>
  </si>
  <si>
    <t>(78)</t>
  </si>
  <si>
    <t>Xã Kon Braih (7 sp)</t>
  </si>
  <si>
    <t>Trà búp Đàn Hương Kon Braih</t>
  </si>
  <si>
    <t>Hợp tác xã Dịch vụ Nông nghiệp Tây nguyên</t>
  </si>
  <si>
    <t>Đặng Xuân Bộ
0944433056</t>
  </si>
  <si>
    <t xml:space="preserve">  08/QĐ-UBND  ngày 13/01/2025
 của UBND huyện Kon Rẫy</t>
  </si>
  <si>
    <t>Nem thính Ninh Tô</t>
  </si>
  <si>
    <t>Hợp tác xã Thương mại và dịch vụ Tấn Phát</t>
  </si>
  <si>
    <t xml:space="preserve">Tô Thị Ninh
0982577641 </t>
  </si>
  <si>
    <t>Giò xào Ninh Tô</t>
  </si>
  <si>
    <t>Hộ kinh doanh Nguyễn Huy Thuyên</t>
  </si>
  <si>
    <t>Tô Thị Ninh
0982577642</t>
  </si>
  <si>
    <t>Xúc xích Tây Nguyên</t>
  </si>
  <si>
    <t>Hợp tác xã Nông sản và Thực phẩm Tây Nguyên</t>
  </si>
  <si>
    <t>Nguyễn Thị Hoà 
0705247999</t>
  </si>
  <si>
    <t>Giò chả Tây Nguyên</t>
  </si>
  <si>
    <t>Thịt phơi nắng Kon Braih</t>
  </si>
  <si>
    <t>Dưa lưới mật HF</t>
  </si>
  <si>
    <t>Hộ kinh doanh nông nghiệp công nghệ cao Trường Hoa</t>
  </si>
  <si>
    <t>(79)</t>
  </si>
  <si>
    <t>Xã Đăk Rve (3 sp)</t>
  </si>
  <si>
    <t>Cà phê Đăk Rve</t>
  </si>
  <si>
    <t>HTX Nông nghiệp và Dịch vụ Hoa Nam</t>
  </si>
  <si>
    <t>Phạm Thị Hoa
0978998850</t>
  </si>
  <si>
    <t>Hạt tiêu xay Sơn Ka</t>
  </si>
  <si>
    <t>Hợp tác xã Sản xuất kinh doanh dịch vụ nông nghiệp tổng hợp</t>
  </si>
  <si>
    <t>Lê Văn Thắng
0357353337</t>
  </si>
  <si>
    <t>Măng chua ớt cay</t>
  </si>
  <si>
    <t>(80)</t>
  </si>
  <si>
    <t>Xã Măng Đen (40 sp)</t>
  </si>
  <si>
    <t>Trà dược liệu PYLO.</t>
  </si>
  <si>
    <t>Sâm &amp; Dược liệu rừng Măng Đen - Chi nhánh Công ty Cổ phần PYLOHERB</t>
  </si>
  <si>
    <t>Lê Thị Kim Loan
0903753645</t>
  </si>
  <si>
    <t>1289/QĐ-UBND ngày 28/12/2023 huyện Kông Plông</t>
  </si>
  <si>
    <t>Trà lim xanh PYLO.</t>
  </si>
  <si>
    <t>Nấm lim xanh rừng PYLO.</t>
  </si>
  <si>
    <t>Hồng đẳng sâm rừng PYLO.</t>
  </si>
  <si>
    <t>Syrup Mâm xôi rừng PYLO.</t>
  </si>
  <si>
    <t>Tinh dầu dược liệu PYLO.</t>
  </si>
  <si>
    <t>Mật ong sâm PYLO Queen.</t>
  </si>
  <si>
    <t>Mật ong rừng PYLO.</t>
  </si>
  <si>
    <t>Mật ong thiên nhiên PYLO.</t>
  </si>
  <si>
    <t>Nấm linh chi rừng PYLO.</t>
  </si>
  <si>
    <t>Nước hoa dược liệu PYLOHERB Măng Đen.</t>
  </si>
  <si>
    <t>501/QĐ-UBND ngày 12/7/2024 huyện Kông Plông</t>
  </si>
  <si>
    <t>Rượu thảo mộc PYLO Măng Đen 18 độ.</t>
  </si>
  <si>
    <t>357/QĐ-UBND ngày 18/6/2024  của UBND tỉnh Kon Tum</t>
  </si>
  <si>
    <t>Rượu thảo mộc PYLO Măng Đen 12 độ.</t>
  </si>
  <si>
    <t>Nước chiết sâm dây Ngọc Linh</t>
  </si>
  <si>
    <t>Công ty TNHH MTV Sim
 Thiên Sơn</t>
  </si>
  <si>
    <t>Nguyễn Thị Nhiệm
0915011212</t>
  </si>
  <si>
    <t>Nước ép sim rừng</t>
  </si>
  <si>
    <t>Nước cốt trái sim rừng</t>
  </si>
  <si>
    <t>Vang sim rừng Măng Đen 14 độ.</t>
  </si>
  <si>
    <t>Vang sim rừng Măng Đen 12 độ.</t>
  </si>
  <si>
    <t>Rượu đẳng sâm Măng Đen M3</t>
  </si>
  <si>
    <t>Công ty TNHH
 Dược điền Măng Đen</t>
  </si>
  <si>
    <t>Hồ Thái Quý
0983950335</t>
  </si>
  <si>
    <t>Rượu đẳng sâm Măng Đen M7</t>
  </si>
  <si>
    <t>Cá lóc một nắng</t>
  </si>
  <si>
    <t>Hợp tác xã Du lịch và 
Thủy sản Đăk Tăng</t>
  </si>
  <si>
    <t xml:space="preserve"> Lô Văn Toàn 
0329511537</t>
  </si>
  <si>
    <t>Mật trường thọ</t>
  </si>
  <si>
    <t>1289/QĐ-UBND ngày 28/12/2023 Huyện KPL</t>
  </si>
  <si>
    <t>Cam sạch</t>
  </si>
  <si>
    <t>Hộ kinh doanh
 Nhà hàng, khách sạn Thông Đỏ</t>
  </si>
  <si>
    <t>Đỗ Minh Sơn 
0984894327</t>
  </si>
  <si>
    <t>Cà fe bột De Măng Den</t>
  </si>
  <si>
    <t>Công ty cổ phần tập đoàn Cafe Măng Đen</t>
  </si>
  <si>
    <t>Trần Văn Quỳnh
0908588888</t>
  </si>
  <si>
    <t>501/QĐ-UBND 
ngày 12/7/2024 huyện Kông Plông</t>
  </si>
  <si>
    <t>Muối tiêu rừng Măng Đen</t>
  </si>
  <si>
    <t>Hộ kinh doanh Trần Thị Sợi</t>
  </si>
  <si>
    <t xml:space="preserve">Trần Thị Sợi
</t>
  </si>
  <si>
    <t>1240/QĐ-UBND ngày 31/12/2024 huyện Kông Plông</t>
  </si>
  <si>
    <t>Cà phê Arabica T'Măng Deeng (pha chế kiểu Phin Việt Nam, 
rang mọc nguyên chất dạng hạt)</t>
  </si>
  <si>
    <t>Công ty TNHH T'MĂNG DEENG XANH</t>
  </si>
  <si>
    <t xml:space="preserve"> Hoàng Quốc Thoại
0961450009</t>
  </si>
  <si>
    <t>Cà phê Arabica T'Măng Deeng (pha chế kiểu Phin Việt Nam, 
rang mọc nguyên chất dạng bột)</t>
  </si>
  <si>
    <t>Cà phê Arabica T'Măng Deeng (Pha máy Espresso kiểu Ý, 
rang mọc nguyên chất dạng bột)</t>
  </si>
  <si>
    <t>Cà phê Arabica T'Măng Deeng (Pha máy Espresso kiểu Ý, 
rang mọc nguyên chất dạng hạt)</t>
  </si>
  <si>
    <t>Trà cà phê Cascara T'Măng Deeng</t>
  </si>
  <si>
    <t>Trà Đẳng sâm</t>
  </si>
  <si>
    <t>HTX Du lịch trải nghiệm Kon Tu Rằng</t>
  </si>
  <si>
    <t>Trần Đức Hòa.
0868979921</t>
  </si>
  <si>
    <t>Sâm dây khô Măng Đen</t>
  </si>
  <si>
    <t>Hộ kinh doanh Bùi Thị Hiền</t>
  </si>
  <si>
    <t>Bùi Thị Hiền.
0963034186</t>
  </si>
  <si>
    <t>Sâm đương qui khô Măng Đen</t>
  </si>
  <si>
    <t>Khoai lang Úc Măng Đen</t>
  </si>
  <si>
    <t>HTX Rau xứ lạnh Măng Đen</t>
  </si>
  <si>
    <t>Võ Minh Luân
0969321506</t>
  </si>
  <si>
    <t>1019/QĐ-UBND ngày 18/6/2025 Huyện Kông Plông</t>
  </si>
  <si>
    <t>Rượu Sâm dây Măng Đen</t>
  </si>
  <si>
    <t>Hộ kinh doanh HP Farm</t>
  </si>
  <si>
    <t>Hộ kinh doanh HP Farm
0963034186</t>
  </si>
  <si>
    <t>Mật Ong sâm Đắk Tăng</t>
  </si>
  <si>
    <t>Hộ kinh doanh Thành Công</t>
  </si>
  <si>
    <t>Rượu sâm dây Đắk Tăng</t>
  </si>
  <si>
    <t>Rượu cam Măng Đen</t>
  </si>
  <si>
    <t>HTX Cà phê và dịch vụ Du lịch-Nông nghiệp Măng Đen</t>
  </si>
  <si>
    <t xml:space="preserve">Đỗ Minh Sơn
0984894327 </t>
  </si>
  <si>
    <t>Nước cam lên men</t>
  </si>
  <si>
    <t>Thông Đỏ Coffee (Hạt cà phê nguyên chất từ Măng Đen)</t>
  </si>
  <si>
    <t>(81)</t>
  </si>
  <si>
    <t>Xã Măng Bút (6 sp)</t>
  </si>
  <si>
    <t>Bún gạo đỏ T'Măng Deeng</t>
  </si>
  <si>
    <t>HTX T'Măng Deeng</t>
  </si>
  <si>
    <t>Trần Thế Tất
0359059079</t>
  </si>
  <si>
    <t>1240/QĐ-UBND ngày 31/12/2024 Huyện Kông Plông</t>
  </si>
  <si>
    <t>Bánh gạo đỏ T'Măng Deeng</t>
  </si>
  <si>
    <t>Phở gạo đỏ T'Măng Deeng</t>
  </si>
  <si>
    <t>Tinh dầu sả Ja Va Đăk Nên</t>
  </si>
  <si>
    <t>HTX Nhật Linh Đăk Nên</t>
  </si>
  <si>
    <t>Nguyễn Đức Hiến
0985937299</t>
  </si>
  <si>
    <t>Cá Niêng Đăk Ring</t>
  </si>
  <si>
    <t>HTX Đoàn Kết Đăk Ring</t>
  </si>
  <si>
    <t>Y Mực
0336655708</t>
  </si>
  <si>
    <t>Cá Tầm Đắk Ring</t>
  </si>
  <si>
    <t>(82)</t>
  </si>
  <si>
    <t>Xã Kon Plông (13 sp)</t>
  </si>
  <si>
    <t>Chè thật</t>
  </si>
  <si>
    <t>HTX Chè sạch Đông Trường Sơn</t>
  </si>
  <si>
    <t>Nguyễn Công Hội 0932223339</t>
  </si>
  <si>
    <t>501/QĐ-UBND ngày 12/7/2024 Huyện Kông Plông</t>
  </si>
  <si>
    <t>Chè A hội xã Hiếu</t>
  </si>
  <si>
    <t>Chè sạch Măng Đen</t>
  </si>
  <si>
    <t>Chè sạch Đông Trường Sơn</t>
  </si>
  <si>
    <t>Trà thảo mộc xã Hiếu</t>
  </si>
  <si>
    <t>Nước trái cay lên men cam</t>
  </si>
  <si>
    <t>Công Ty TNHH TMDV Hồng Phát Kon  PLông</t>
  </si>
  <si>
    <t>Phan Thị Hậu
0964615161</t>
  </si>
  <si>
    <t>1289/QĐ-UBND ngày 28/12/2023 Huyện Kông Plông</t>
  </si>
  <si>
    <t>Mật ong lên men gừng</t>
  </si>
  <si>
    <t>Mật ong lên men sâm</t>
  </si>
  <si>
    <t>Sâm dây lên men</t>
  </si>
  <si>
    <t>Rượu sâm dây (hồng đẳng sâm)</t>
  </si>
  <si>
    <t>Tinh dầu Sả Java</t>
  </si>
  <si>
    <t>HTX Nông, lâm nghiệp - Thương mại &amp; Dịch vụ xã Ngọc Tem</t>
  </si>
  <si>
    <t>Nguyễn Xuân Phú
0968174739</t>
  </si>
  <si>
    <t>Chuối rừng khô Ngọk Tem</t>
  </si>
  <si>
    <t>Hộ kinh doanh Bùi Văn Dinh</t>
  </si>
  <si>
    <t>Bùi Văn Dinh</t>
  </si>
  <si>
    <t>(83)</t>
  </si>
  <si>
    <t>Nhang trầm hương Tú Hân</t>
  </si>
  <si>
    <t>Hợp tác xã
Thảo dược Quảng Ngãi</t>
  </si>
  <si>
    <t xml:space="preserve">Ngô Thanh Được </t>
  </si>
  <si>
    <t>(84)</t>
  </si>
  <si>
    <t>Sâm dây khô</t>
  </si>
  <si>
    <t>Hợp tác xã Ngọc Linh</t>
  </si>
  <si>
    <t>A Thông
0384517104</t>
  </si>
  <si>
    <t>Hợp tác xã Nông nghiệp và Dược liệu Mường Hoong</t>
  </si>
  <si>
    <t>A Kơ
0983593633</t>
  </si>
  <si>
    <r>
      <t xml:space="preserve">PHỤ LỤC: DANH SÁCH SẢN PHẨM OCOP TỈNH QUẢNG NGÃI CÒN THỜI HẠN TÍNH ĐẾN THÁNG 6/2026   
</t>
    </r>
    <r>
      <rPr>
        <i/>
        <sz val="10"/>
        <rFont val="Times New Roman"/>
        <family val="1"/>
      </rPr>
      <t>(Kèm theo Công văn số             /SNNMT-PTNT ngày       /6/2026 của Sở Nông nghiệp và Môi trường tỉnh Quảng Ngãi)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</si>
</sst>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0F1115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1" fillId="0" borderId="0"/>
  </cellStyleXfs>
  <cellXfs count="58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0" xfId="0" applyFont="1" applyFill="1"/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0" fontId="7" fillId="3" borderId="2" xfId="0" quotePrefix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14" fontId="7" fillId="3" borderId="2" xfId="0" applyNumberFormat="1" applyFont="1" applyFill="1" applyBorder="1" applyAlignment="1">
      <alignment horizontal="center" vertical="center" wrapText="1"/>
    </xf>
    <xf numFmtId="0" fontId="9" fillId="3" borderId="2" xfId="0" quotePrefix="1" applyFont="1" applyFill="1" applyBorder="1" applyAlignment="1">
      <alignment horizontal="center" vertical="center" wrapText="1"/>
    </xf>
    <xf numFmtId="14" fontId="9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0" fontId="9" fillId="3" borderId="2" xfId="0" quotePrefix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/>
    </xf>
    <xf numFmtId="0" fontId="9" fillId="3" borderId="2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justify" vertical="center" wrapText="1"/>
    </xf>
    <xf numFmtId="2" fontId="9" fillId="3" borderId="2" xfId="0" applyNumberFormat="1" applyFont="1" applyFill="1" applyBorder="1" applyAlignment="1">
      <alignment horizontal="center" vertical="center"/>
    </xf>
    <xf numFmtId="0" fontId="9" fillId="3" borderId="2" xfId="3" applyFont="1" applyFill="1" applyBorder="1" applyAlignment="1">
      <alignment vertical="center" wrapText="1"/>
    </xf>
    <xf numFmtId="0" fontId="9" fillId="3" borderId="2" xfId="3" quotePrefix="1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43" fontId="9" fillId="3" borderId="2" xfId="1" applyFont="1" applyFill="1" applyBorder="1" applyAlignment="1">
      <alignment horizontal="center" vertical="center" wrapText="1"/>
    </xf>
    <xf numFmtId="0" fontId="9" fillId="3" borderId="2" xfId="0" quotePrefix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3"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728384</xdr:colOff>
      <xdr:row>1</xdr:row>
      <xdr:rowOff>179293</xdr:rowOff>
    </xdr:from>
    <xdr:to>
      <xdr:col>5</xdr:col>
      <xdr:colOff>515473</xdr:colOff>
      <xdr:row>1</xdr:row>
      <xdr:rowOff>179293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3881159" y="569818"/>
          <a:ext cx="19683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workbookViewId="0">
      <selection sqref="A1:K8"/>
    </sheetView>
  </sheetViews>
  <sheetFormatPr defaultRowHeight="15" x14ac:dyDescent="0.25"/>
  <cols>
    <col min="1" max="1" width="5.28515625" style="6" customWidth="1"/>
    <col min="2" max="2" width="28.85546875" customWidth="1"/>
    <col min="3" max="9" width="9.140625" style="6"/>
    <col min="10" max="10" width="15.7109375" style="6" customWidth="1"/>
    <col min="11" max="11" width="12" style="6" customWidth="1"/>
  </cols>
  <sheetData>
    <row r="1" spans="1:11" ht="19.5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29.25" customHeight="1" x14ac:dyDescent="0.25">
      <c r="A2" s="45" t="s">
        <v>1</v>
      </c>
      <c r="B2" s="45" t="s">
        <v>2</v>
      </c>
      <c r="C2" s="47" t="s">
        <v>3</v>
      </c>
      <c r="D2" s="47"/>
      <c r="E2" s="47"/>
      <c r="F2" s="47"/>
      <c r="G2" s="47" t="s">
        <v>4</v>
      </c>
      <c r="H2" s="47"/>
      <c r="I2" s="47"/>
      <c r="J2" s="47"/>
      <c r="K2" s="47"/>
    </row>
    <row r="3" spans="1:11" ht="27.75" customHeight="1" x14ac:dyDescent="0.25">
      <c r="A3" s="46"/>
      <c r="B3" s="46"/>
      <c r="C3" s="2" t="s">
        <v>5</v>
      </c>
      <c r="D3" s="2" t="s">
        <v>6</v>
      </c>
      <c r="E3" s="2" t="s">
        <v>7</v>
      </c>
      <c r="F3" s="2" t="s">
        <v>8</v>
      </c>
      <c r="G3" s="2" t="s">
        <v>5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x14ac:dyDescent="0.25">
      <c r="A4" s="2">
        <v>1</v>
      </c>
      <c r="B4" s="3" t="s">
        <v>13</v>
      </c>
      <c r="C4" s="4">
        <f>SUM(D4:F4)</f>
        <v>30</v>
      </c>
      <c r="D4" s="4">
        <v>1</v>
      </c>
      <c r="E4" s="4">
        <v>6</v>
      </c>
      <c r="F4" s="4">
        <v>23</v>
      </c>
      <c r="G4" s="4">
        <f>SUM(H4:K4)</f>
        <v>7</v>
      </c>
      <c r="H4" s="4">
        <v>5</v>
      </c>
      <c r="I4" s="4">
        <v>0</v>
      </c>
      <c r="J4" s="4">
        <v>2</v>
      </c>
      <c r="K4" s="4">
        <v>0</v>
      </c>
    </row>
    <row r="5" spans="1:11" x14ac:dyDescent="0.25">
      <c r="A5" s="2">
        <v>2</v>
      </c>
      <c r="B5" s="3" t="s">
        <v>14</v>
      </c>
      <c r="C5" s="4">
        <f t="shared" ref="C5:C68" si="0">SUM(D5:F5)</f>
        <v>10</v>
      </c>
      <c r="D5" s="4">
        <v>0</v>
      </c>
      <c r="E5" s="4">
        <v>0</v>
      </c>
      <c r="F5" s="4">
        <v>10</v>
      </c>
      <c r="G5" s="4">
        <f t="shared" ref="G5:G68" si="1">SUM(H5:K5)</f>
        <v>6</v>
      </c>
      <c r="H5" s="4">
        <v>0</v>
      </c>
      <c r="I5" s="4">
        <v>0</v>
      </c>
      <c r="J5" s="4">
        <v>6</v>
      </c>
      <c r="K5" s="4">
        <v>0</v>
      </c>
    </row>
    <row r="6" spans="1:11" x14ac:dyDescent="0.25">
      <c r="A6" s="2">
        <v>3</v>
      </c>
      <c r="B6" s="3" t="s">
        <v>15</v>
      </c>
      <c r="C6" s="4">
        <f t="shared" si="0"/>
        <v>9</v>
      </c>
      <c r="D6" s="4">
        <v>0</v>
      </c>
      <c r="E6" s="4">
        <v>1</v>
      </c>
      <c r="F6" s="4">
        <v>8</v>
      </c>
      <c r="G6" s="4">
        <f t="shared" si="1"/>
        <v>7</v>
      </c>
      <c r="H6" s="4">
        <v>2</v>
      </c>
      <c r="I6" s="4">
        <v>0</v>
      </c>
      <c r="J6" s="4">
        <v>5</v>
      </c>
      <c r="K6" s="4">
        <v>0</v>
      </c>
    </row>
    <row r="7" spans="1:11" x14ac:dyDescent="0.25">
      <c r="A7" s="2">
        <v>4</v>
      </c>
      <c r="B7" s="3" t="s">
        <v>16</v>
      </c>
      <c r="C7" s="4">
        <f t="shared" si="0"/>
        <v>25</v>
      </c>
      <c r="D7" s="4">
        <v>1</v>
      </c>
      <c r="E7" s="4">
        <v>0</v>
      </c>
      <c r="F7" s="4">
        <v>24</v>
      </c>
      <c r="G7" s="5">
        <f t="shared" si="1"/>
        <v>9</v>
      </c>
      <c r="H7" s="5">
        <v>4</v>
      </c>
      <c r="I7" s="4">
        <v>0</v>
      </c>
      <c r="J7" s="4">
        <v>5</v>
      </c>
      <c r="K7" s="4">
        <v>0</v>
      </c>
    </row>
    <row r="8" spans="1:11" x14ac:dyDescent="0.25">
      <c r="A8" s="2">
        <v>5</v>
      </c>
      <c r="B8" s="3" t="s">
        <v>17</v>
      </c>
      <c r="C8" s="4">
        <f t="shared" si="0"/>
        <v>3</v>
      </c>
      <c r="D8" s="4">
        <v>0</v>
      </c>
      <c r="E8" s="4">
        <v>0</v>
      </c>
      <c r="F8" s="4">
        <v>3</v>
      </c>
      <c r="G8" s="4">
        <f t="shared" si="1"/>
        <v>3</v>
      </c>
      <c r="H8" s="4">
        <v>2</v>
      </c>
      <c r="I8" s="4">
        <v>0</v>
      </c>
      <c r="J8" s="4">
        <v>1</v>
      </c>
      <c r="K8" s="4">
        <v>0</v>
      </c>
    </row>
    <row r="9" spans="1:11" x14ac:dyDescent="0.25">
      <c r="A9" s="2">
        <v>6</v>
      </c>
      <c r="B9" s="3" t="s">
        <v>18</v>
      </c>
      <c r="C9" s="4">
        <f t="shared" si="0"/>
        <v>5</v>
      </c>
      <c r="D9" s="4">
        <v>0</v>
      </c>
      <c r="E9" s="4">
        <v>0</v>
      </c>
      <c r="F9" s="4">
        <v>5</v>
      </c>
      <c r="G9" s="4">
        <f t="shared" si="1"/>
        <v>3</v>
      </c>
      <c r="H9" s="4">
        <v>0</v>
      </c>
      <c r="I9" s="4">
        <v>1</v>
      </c>
      <c r="J9" s="4">
        <v>2</v>
      </c>
      <c r="K9" s="4">
        <v>0</v>
      </c>
    </row>
    <row r="10" spans="1:11" x14ac:dyDescent="0.25">
      <c r="A10" s="2">
        <v>7</v>
      </c>
      <c r="B10" s="3" t="s">
        <v>19</v>
      </c>
      <c r="C10" s="4">
        <f t="shared" si="0"/>
        <v>1</v>
      </c>
      <c r="D10" s="4">
        <v>0</v>
      </c>
      <c r="E10" s="4">
        <v>1</v>
      </c>
      <c r="F10" s="4">
        <v>0</v>
      </c>
      <c r="G10" s="4">
        <f t="shared" si="1"/>
        <v>1</v>
      </c>
      <c r="H10" s="4">
        <v>1</v>
      </c>
      <c r="I10" s="4">
        <v>0</v>
      </c>
      <c r="J10" s="4">
        <v>0</v>
      </c>
      <c r="K10" s="4">
        <v>0</v>
      </c>
    </row>
    <row r="11" spans="1:11" x14ac:dyDescent="0.25">
      <c r="A11" s="2">
        <v>8</v>
      </c>
      <c r="B11" s="3" t="s">
        <v>20</v>
      </c>
      <c r="C11" s="4">
        <f t="shared" si="0"/>
        <v>3</v>
      </c>
      <c r="D11" s="4">
        <v>0</v>
      </c>
      <c r="E11" s="4">
        <v>0</v>
      </c>
      <c r="F11" s="4">
        <v>3</v>
      </c>
      <c r="G11" s="4">
        <f t="shared" si="1"/>
        <v>3</v>
      </c>
      <c r="H11" s="4">
        <v>1</v>
      </c>
      <c r="I11" s="4">
        <v>1</v>
      </c>
      <c r="J11" s="4">
        <v>1</v>
      </c>
      <c r="K11" s="4">
        <v>0</v>
      </c>
    </row>
    <row r="12" spans="1:11" x14ac:dyDescent="0.25">
      <c r="A12" s="2">
        <v>9</v>
      </c>
      <c r="B12" s="3" t="s">
        <v>21</v>
      </c>
      <c r="C12" s="4">
        <f t="shared" si="0"/>
        <v>12</v>
      </c>
      <c r="D12" s="4">
        <v>0</v>
      </c>
      <c r="E12" s="4">
        <v>5</v>
      </c>
      <c r="F12" s="4">
        <v>7</v>
      </c>
      <c r="G12" s="4">
        <f t="shared" si="1"/>
        <v>4</v>
      </c>
      <c r="H12" s="4">
        <v>4</v>
      </c>
      <c r="I12" s="4">
        <v>0</v>
      </c>
      <c r="J12" s="4">
        <v>0</v>
      </c>
      <c r="K12" s="4">
        <v>0</v>
      </c>
    </row>
    <row r="13" spans="1:11" x14ac:dyDescent="0.25">
      <c r="A13" s="2">
        <v>10</v>
      </c>
      <c r="B13" s="3" t="s">
        <v>22</v>
      </c>
      <c r="C13" s="4">
        <f t="shared" si="0"/>
        <v>2</v>
      </c>
      <c r="D13" s="4">
        <v>0</v>
      </c>
      <c r="E13" s="4">
        <v>0</v>
      </c>
      <c r="F13" s="4">
        <v>2</v>
      </c>
      <c r="G13" s="4">
        <f t="shared" si="1"/>
        <v>2</v>
      </c>
      <c r="H13" s="4">
        <v>0</v>
      </c>
      <c r="I13" s="4">
        <v>1</v>
      </c>
      <c r="J13" s="4">
        <v>1</v>
      </c>
      <c r="K13" s="4">
        <v>0</v>
      </c>
    </row>
    <row r="14" spans="1:11" x14ac:dyDescent="0.25">
      <c r="A14" s="2">
        <v>11</v>
      </c>
      <c r="B14" s="3" t="s">
        <v>23</v>
      </c>
      <c r="C14" s="4">
        <f t="shared" si="0"/>
        <v>9</v>
      </c>
      <c r="D14" s="4">
        <v>0</v>
      </c>
      <c r="E14" s="4">
        <v>0</v>
      </c>
      <c r="F14" s="4">
        <v>9</v>
      </c>
      <c r="G14" s="4">
        <f t="shared" si="1"/>
        <v>6</v>
      </c>
      <c r="H14" s="4">
        <v>0</v>
      </c>
      <c r="I14" s="4">
        <v>2</v>
      </c>
      <c r="J14" s="4">
        <v>4</v>
      </c>
      <c r="K14" s="4">
        <v>0</v>
      </c>
    </row>
    <row r="15" spans="1:11" x14ac:dyDescent="0.25">
      <c r="A15" s="2">
        <v>12</v>
      </c>
      <c r="B15" s="3" t="s">
        <v>24</v>
      </c>
      <c r="C15" s="4">
        <f t="shared" si="0"/>
        <v>7</v>
      </c>
      <c r="D15" s="4">
        <v>0</v>
      </c>
      <c r="E15" s="4">
        <v>0</v>
      </c>
      <c r="F15" s="4">
        <v>7</v>
      </c>
      <c r="G15" s="4">
        <f t="shared" si="1"/>
        <v>5</v>
      </c>
      <c r="H15" s="4">
        <v>1</v>
      </c>
      <c r="I15" s="4">
        <v>0</v>
      </c>
      <c r="J15" s="4">
        <v>4</v>
      </c>
      <c r="K15" s="4">
        <v>0</v>
      </c>
    </row>
    <row r="16" spans="1:11" x14ac:dyDescent="0.25">
      <c r="A16" s="2">
        <v>13</v>
      </c>
      <c r="B16" s="3" t="s">
        <v>25</v>
      </c>
      <c r="C16" s="4">
        <f t="shared" si="0"/>
        <v>1</v>
      </c>
      <c r="D16" s="4">
        <v>0</v>
      </c>
      <c r="E16" s="4">
        <v>0</v>
      </c>
      <c r="F16" s="4">
        <v>1</v>
      </c>
      <c r="G16" s="4">
        <f t="shared" si="1"/>
        <v>1</v>
      </c>
      <c r="H16" s="4">
        <v>0</v>
      </c>
      <c r="I16" s="4">
        <v>1</v>
      </c>
      <c r="J16" s="4">
        <v>0</v>
      </c>
      <c r="K16" s="4">
        <v>0</v>
      </c>
    </row>
    <row r="17" spans="1:11" x14ac:dyDescent="0.25">
      <c r="A17" s="2">
        <v>14</v>
      </c>
      <c r="B17" s="3" t="s">
        <v>26</v>
      </c>
      <c r="C17" s="4">
        <f t="shared" si="0"/>
        <v>2</v>
      </c>
      <c r="D17" s="4">
        <v>0</v>
      </c>
      <c r="E17" s="4">
        <v>0</v>
      </c>
      <c r="F17" s="4">
        <v>2</v>
      </c>
      <c r="G17" s="4">
        <f t="shared" si="1"/>
        <v>2</v>
      </c>
      <c r="H17" s="4">
        <v>0</v>
      </c>
      <c r="I17" s="4">
        <v>1</v>
      </c>
      <c r="J17" s="4">
        <v>1</v>
      </c>
      <c r="K17" s="4">
        <v>0</v>
      </c>
    </row>
    <row r="18" spans="1:11" x14ac:dyDescent="0.25">
      <c r="A18" s="2">
        <v>15</v>
      </c>
      <c r="B18" s="3" t="s">
        <v>27</v>
      </c>
      <c r="C18" s="4">
        <f t="shared" si="0"/>
        <v>2</v>
      </c>
      <c r="D18" s="4">
        <v>0</v>
      </c>
      <c r="E18" s="4">
        <v>0</v>
      </c>
      <c r="F18" s="4">
        <v>2</v>
      </c>
      <c r="G18" s="4">
        <f t="shared" si="1"/>
        <v>2</v>
      </c>
      <c r="H18" s="4">
        <v>0</v>
      </c>
      <c r="I18" s="4">
        <v>1</v>
      </c>
      <c r="J18" s="4">
        <v>1</v>
      </c>
      <c r="K18" s="4">
        <v>0</v>
      </c>
    </row>
    <row r="19" spans="1:11" x14ac:dyDescent="0.25">
      <c r="A19" s="2">
        <v>16</v>
      </c>
      <c r="B19" s="3" t="s">
        <v>28</v>
      </c>
      <c r="C19" s="4">
        <f t="shared" si="0"/>
        <v>1</v>
      </c>
      <c r="D19" s="4">
        <v>0</v>
      </c>
      <c r="E19" s="4">
        <v>0</v>
      </c>
      <c r="F19" s="4">
        <v>1</v>
      </c>
      <c r="G19" s="4">
        <f t="shared" si="1"/>
        <v>1</v>
      </c>
      <c r="H19" s="4">
        <v>0</v>
      </c>
      <c r="I19" s="4">
        <v>0</v>
      </c>
      <c r="J19" s="4">
        <v>1</v>
      </c>
      <c r="K19" s="4">
        <v>0</v>
      </c>
    </row>
    <row r="20" spans="1:11" x14ac:dyDescent="0.25">
      <c r="A20" s="2">
        <v>17</v>
      </c>
      <c r="B20" s="3" t="s">
        <v>29</v>
      </c>
      <c r="C20" s="4">
        <f t="shared" si="0"/>
        <v>12</v>
      </c>
      <c r="D20" s="4">
        <v>0</v>
      </c>
      <c r="E20" s="4">
        <v>2</v>
      </c>
      <c r="F20" s="4">
        <v>10</v>
      </c>
      <c r="G20" s="4">
        <f t="shared" si="1"/>
        <v>8</v>
      </c>
      <c r="H20" s="4">
        <v>3</v>
      </c>
      <c r="I20" s="4">
        <v>1</v>
      </c>
      <c r="J20" s="4">
        <v>4</v>
      </c>
      <c r="K20" s="4">
        <v>0</v>
      </c>
    </row>
    <row r="21" spans="1:11" x14ac:dyDescent="0.25">
      <c r="A21" s="2">
        <v>18</v>
      </c>
      <c r="B21" s="3" t="s">
        <v>30</v>
      </c>
      <c r="C21" s="4">
        <f t="shared" si="0"/>
        <v>4</v>
      </c>
      <c r="D21" s="4">
        <v>0</v>
      </c>
      <c r="E21" s="4">
        <v>0</v>
      </c>
      <c r="F21" s="4">
        <v>4</v>
      </c>
      <c r="G21" s="4">
        <f t="shared" si="1"/>
        <v>4</v>
      </c>
      <c r="H21" s="4">
        <v>2</v>
      </c>
      <c r="I21" s="4">
        <v>2</v>
      </c>
      <c r="J21" s="4">
        <v>0</v>
      </c>
      <c r="K21" s="4">
        <v>0</v>
      </c>
    </row>
    <row r="22" spans="1:11" x14ac:dyDescent="0.25">
      <c r="A22" s="2">
        <v>19</v>
      </c>
      <c r="B22" s="3" t="s">
        <v>31</v>
      </c>
      <c r="C22" s="4">
        <f t="shared" si="0"/>
        <v>4</v>
      </c>
      <c r="D22" s="4">
        <v>0</v>
      </c>
      <c r="E22" s="4">
        <v>0</v>
      </c>
      <c r="F22" s="4">
        <v>4</v>
      </c>
      <c r="G22" s="4">
        <f t="shared" si="1"/>
        <v>3</v>
      </c>
      <c r="H22" s="4">
        <v>0</v>
      </c>
      <c r="I22" s="4">
        <v>1</v>
      </c>
      <c r="J22" s="4">
        <v>2</v>
      </c>
      <c r="K22" s="4">
        <v>0</v>
      </c>
    </row>
    <row r="23" spans="1:11" x14ac:dyDescent="0.25">
      <c r="A23" s="2">
        <v>20</v>
      </c>
      <c r="B23" s="3" t="s">
        <v>32</v>
      </c>
      <c r="C23" s="4">
        <f t="shared" si="0"/>
        <v>10</v>
      </c>
      <c r="D23" s="4">
        <v>0</v>
      </c>
      <c r="E23" s="4">
        <v>0</v>
      </c>
      <c r="F23" s="4">
        <v>10</v>
      </c>
      <c r="G23" s="4">
        <f t="shared" si="1"/>
        <v>4</v>
      </c>
      <c r="H23" s="4">
        <v>0</v>
      </c>
      <c r="I23" s="4">
        <v>0</v>
      </c>
      <c r="J23" s="4">
        <v>4</v>
      </c>
      <c r="K23" s="4">
        <v>0</v>
      </c>
    </row>
    <row r="24" spans="1:11" x14ac:dyDescent="0.25">
      <c r="A24" s="2">
        <v>21</v>
      </c>
      <c r="B24" s="3" t="s">
        <v>33</v>
      </c>
      <c r="C24" s="4">
        <f t="shared" si="0"/>
        <v>3</v>
      </c>
      <c r="D24" s="4">
        <v>0</v>
      </c>
      <c r="E24" s="4">
        <v>0</v>
      </c>
      <c r="F24" s="4">
        <v>3</v>
      </c>
      <c r="G24" s="4">
        <f t="shared" si="1"/>
        <v>3</v>
      </c>
      <c r="H24" s="4">
        <v>0</v>
      </c>
      <c r="I24" s="4">
        <v>1</v>
      </c>
      <c r="J24" s="4">
        <v>2</v>
      </c>
      <c r="K24" s="4">
        <v>0</v>
      </c>
    </row>
    <row r="25" spans="1:11" x14ac:dyDescent="0.25">
      <c r="A25" s="2">
        <v>22</v>
      </c>
      <c r="B25" s="3" t="s">
        <v>34</v>
      </c>
      <c r="C25" s="4">
        <f t="shared" si="0"/>
        <v>5</v>
      </c>
      <c r="D25" s="4">
        <v>0</v>
      </c>
      <c r="E25" s="4">
        <v>0</v>
      </c>
      <c r="F25" s="4">
        <v>5</v>
      </c>
      <c r="G25" s="4">
        <f t="shared" si="1"/>
        <v>2</v>
      </c>
      <c r="H25" s="4">
        <v>0</v>
      </c>
      <c r="I25" s="4">
        <v>0</v>
      </c>
      <c r="J25" s="4">
        <v>2</v>
      </c>
      <c r="K25" s="4">
        <v>0</v>
      </c>
    </row>
    <row r="26" spans="1:11" x14ac:dyDescent="0.25">
      <c r="A26" s="2">
        <v>23</v>
      </c>
      <c r="B26" s="3" t="s">
        <v>35</v>
      </c>
      <c r="C26" s="4">
        <f t="shared" si="0"/>
        <v>5</v>
      </c>
      <c r="D26" s="4">
        <v>0</v>
      </c>
      <c r="E26" s="4">
        <v>1</v>
      </c>
      <c r="F26" s="4">
        <v>4</v>
      </c>
      <c r="G26" s="4">
        <f t="shared" si="1"/>
        <v>3</v>
      </c>
      <c r="H26" s="4">
        <v>1</v>
      </c>
      <c r="I26" s="4">
        <v>1</v>
      </c>
      <c r="J26" s="4">
        <v>1</v>
      </c>
      <c r="K26" s="4">
        <v>0</v>
      </c>
    </row>
    <row r="27" spans="1:11" x14ac:dyDescent="0.25">
      <c r="A27" s="2">
        <v>24</v>
      </c>
      <c r="B27" s="3" t="s">
        <v>36</v>
      </c>
      <c r="C27" s="4">
        <f t="shared" si="0"/>
        <v>12</v>
      </c>
      <c r="D27" s="4">
        <v>0</v>
      </c>
      <c r="E27" s="4">
        <v>0</v>
      </c>
      <c r="F27" s="4">
        <v>12</v>
      </c>
      <c r="G27" s="4">
        <f t="shared" si="1"/>
        <v>7</v>
      </c>
      <c r="H27" s="4">
        <v>0</v>
      </c>
      <c r="I27" s="4">
        <v>1</v>
      </c>
      <c r="J27" s="4">
        <v>6</v>
      </c>
      <c r="K27" s="4">
        <v>0</v>
      </c>
    </row>
    <row r="28" spans="1:11" x14ac:dyDescent="0.25">
      <c r="A28" s="2">
        <v>25</v>
      </c>
      <c r="B28" s="3" t="s">
        <v>37</v>
      </c>
      <c r="C28" s="4">
        <f t="shared" si="0"/>
        <v>5</v>
      </c>
      <c r="D28" s="4">
        <v>0</v>
      </c>
      <c r="E28" s="4">
        <v>0</v>
      </c>
      <c r="F28" s="4">
        <v>5</v>
      </c>
      <c r="G28" s="4">
        <f t="shared" si="1"/>
        <v>3</v>
      </c>
      <c r="H28" s="4">
        <v>0</v>
      </c>
      <c r="I28" s="4">
        <v>1</v>
      </c>
      <c r="J28" s="4">
        <v>2</v>
      </c>
      <c r="K28" s="4">
        <v>0</v>
      </c>
    </row>
    <row r="29" spans="1:11" x14ac:dyDescent="0.25">
      <c r="A29" s="2">
        <v>26</v>
      </c>
      <c r="B29" s="3" t="s">
        <v>38</v>
      </c>
      <c r="C29" s="4">
        <f t="shared" si="0"/>
        <v>7</v>
      </c>
      <c r="D29" s="4">
        <v>0</v>
      </c>
      <c r="E29" s="4">
        <v>0</v>
      </c>
      <c r="F29" s="4">
        <v>7</v>
      </c>
      <c r="G29" s="4">
        <f t="shared" si="1"/>
        <v>3</v>
      </c>
      <c r="H29" s="4">
        <v>0</v>
      </c>
      <c r="I29" s="4">
        <v>1</v>
      </c>
      <c r="J29" s="4">
        <v>2</v>
      </c>
      <c r="K29" s="4">
        <v>0</v>
      </c>
    </row>
    <row r="30" spans="1:11" x14ac:dyDescent="0.25">
      <c r="A30" s="2">
        <v>27</v>
      </c>
      <c r="B30" s="3" t="s">
        <v>39</v>
      </c>
      <c r="C30" s="4">
        <f t="shared" si="0"/>
        <v>1</v>
      </c>
      <c r="D30" s="4">
        <v>0</v>
      </c>
      <c r="E30" s="4">
        <v>0</v>
      </c>
      <c r="F30" s="4">
        <v>1</v>
      </c>
      <c r="G30" s="4">
        <f t="shared" si="1"/>
        <v>1</v>
      </c>
      <c r="H30" s="4">
        <v>0</v>
      </c>
      <c r="I30" s="4">
        <v>0</v>
      </c>
      <c r="J30" s="4">
        <v>1</v>
      </c>
      <c r="K30" s="4">
        <v>0</v>
      </c>
    </row>
    <row r="31" spans="1:11" x14ac:dyDescent="0.25">
      <c r="A31" s="2">
        <v>28</v>
      </c>
      <c r="B31" s="3" t="s">
        <v>40</v>
      </c>
      <c r="C31" s="4">
        <f t="shared" si="0"/>
        <v>5</v>
      </c>
      <c r="D31" s="4">
        <v>0</v>
      </c>
      <c r="E31" s="4">
        <v>0</v>
      </c>
      <c r="F31" s="4">
        <v>5</v>
      </c>
      <c r="G31" s="4">
        <f t="shared" si="1"/>
        <v>4</v>
      </c>
      <c r="H31" s="4">
        <v>0</v>
      </c>
      <c r="I31" s="4">
        <v>0</v>
      </c>
      <c r="J31" s="4">
        <v>4</v>
      </c>
      <c r="K31" s="4">
        <v>0</v>
      </c>
    </row>
    <row r="32" spans="1:11" x14ac:dyDescent="0.25">
      <c r="A32" s="2">
        <v>29</v>
      </c>
      <c r="B32" s="3" t="s">
        <v>41</v>
      </c>
      <c r="C32" s="4">
        <f t="shared" si="0"/>
        <v>3</v>
      </c>
      <c r="D32" s="4">
        <v>0</v>
      </c>
      <c r="E32" s="4">
        <v>0</v>
      </c>
      <c r="F32" s="4">
        <v>3</v>
      </c>
      <c r="G32" s="4">
        <f t="shared" si="1"/>
        <v>2</v>
      </c>
      <c r="H32" s="4">
        <v>0</v>
      </c>
      <c r="I32" s="4">
        <v>1</v>
      </c>
      <c r="J32" s="4">
        <v>1</v>
      </c>
      <c r="K32" s="4">
        <v>0</v>
      </c>
    </row>
    <row r="33" spans="1:11" x14ac:dyDescent="0.25">
      <c r="A33" s="2">
        <v>30</v>
      </c>
      <c r="B33" s="3" t="s">
        <v>42</v>
      </c>
      <c r="C33" s="4">
        <f t="shared" si="0"/>
        <v>6</v>
      </c>
      <c r="D33" s="4">
        <v>0</v>
      </c>
      <c r="E33" s="4">
        <v>0</v>
      </c>
      <c r="F33" s="4">
        <v>6</v>
      </c>
      <c r="G33" s="4">
        <f t="shared" si="1"/>
        <v>4</v>
      </c>
      <c r="H33" s="4">
        <v>0</v>
      </c>
      <c r="I33" s="4">
        <v>2</v>
      </c>
      <c r="J33" s="4">
        <v>2</v>
      </c>
      <c r="K33" s="4">
        <v>0</v>
      </c>
    </row>
    <row r="34" spans="1:11" x14ac:dyDescent="0.25">
      <c r="A34" s="2">
        <v>31</v>
      </c>
      <c r="B34" s="3" t="s">
        <v>43</v>
      </c>
      <c r="C34" s="4">
        <f t="shared" si="0"/>
        <v>17</v>
      </c>
      <c r="D34" s="4">
        <v>0</v>
      </c>
      <c r="E34" s="4">
        <v>1</v>
      </c>
      <c r="F34" s="4">
        <v>16</v>
      </c>
      <c r="G34" s="4">
        <f t="shared" si="1"/>
        <v>7</v>
      </c>
      <c r="H34" s="4">
        <v>1</v>
      </c>
      <c r="I34" s="4">
        <v>1</v>
      </c>
      <c r="J34" s="4">
        <v>5</v>
      </c>
      <c r="K34" s="4">
        <v>0</v>
      </c>
    </row>
    <row r="35" spans="1:11" x14ac:dyDescent="0.25">
      <c r="A35" s="2">
        <v>32</v>
      </c>
      <c r="B35" s="3" t="s">
        <v>44</v>
      </c>
      <c r="C35" s="4">
        <f t="shared" si="0"/>
        <v>8</v>
      </c>
      <c r="D35" s="4">
        <v>0</v>
      </c>
      <c r="E35" s="4">
        <v>0</v>
      </c>
      <c r="F35" s="4">
        <v>8</v>
      </c>
      <c r="G35" s="4">
        <f t="shared" si="1"/>
        <v>6</v>
      </c>
      <c r="H35" s="4">
        <v>1</v>
      </c>
      <c r="I35" s="4">
        <v>0</v>
      </c>
      <c r="J35" s="4">
        <v>5</v>
      </c>
      <c r="K35" s="4">
        <v>0</v>
      </c>
    </row>
    <row r="36" spans="1:11" x14ac:dyDescent="0.25">
      <c r="A36" s="2">
        <v>33</v>
      </c>
      <c r="B36" s="3" t="s">
        <v>45</v>
      </c>
      <c r="C36" s="4">
        <f t="shared" si="0"/>
        <v>10</v>
      </c>
      <c r="D36" s="4">
        <v>0</v>
      </c>
      <c r="E36" s="4">
        <v>0</v>
      </c>
      <c r="F36" s="4">
        <v>10</v>
      </c>
      <c r="G36" s="4">
        <f t="shared" si="1"/>
        <v>4</v>
      </c>
      <c r="H36" s="4">
        <v>0</v>
      </c>
      <c r="I36" s="4">
        <v>1</v>
      </c>
      <c r="J36" s="4">
        <v>3</v>
      </c>
      <c r="K36" s="4">
        <v>0</v>
      </c>
    </row>
    <row r="37" spans="1:11" x14ac:dyDescent="0.25">
      <c r="A37" s="2">
        <v>34</v>
      </c>
      <c r="B37" s="3" t="s">
        <v>46</v>
      </c>
      <c r="C37" s="4">
        <f t="shared" si="0"/>
        <v>8</v>
      </c>
      <c r="D37" s="4">
        <v>0</v>
      </c>
      <c r="E37" s="4">
        <v>0</v>
      </c>
      <c r="F37" s="4">
        <v>8</v>
      </c>
      <c r="G37" s="4">
        <f t="shared" si="1"/>
        <v>5</v>
      </c>
      <c r="H37" s="4">
        <v>0</v>
      </c>
      <c r="I37" s="4">
        <v>0</v>
      </c>
      <c r="J37" s="4">
        <v>5</v>
      </c>
      <c r="K37" s="4">
        <v>0</v>
      </c>
    </row>
    <row r="38" spans="1:11" x14ac:dyDescent="0.25">
      <c r="A38" s="2">
        <v>35</v>
      </c>
      <c r="B38" s="3" t="s">
        <v>47</v>
      </c>
      <c r="C38" s="4">
        <f t="shared" si="0"/>
        <v>19</v>
      </c>
      <c r="D38" s="4">
        <v>0</v>
      </c>
      <c r="E38" s="4">
        <v>3</v>
      </c>
      <c r="F38" s="4">
        <v>16</v>
      </c>
      <c r="G38" s="4">
        <f t="shared" si="1"/>
        <v>4</v>
      </c>
      <c r="H38" s="4">
        <v>2</v>
      </c>
      <c r="I38" s="4">
        <v>0</v>
      </c>
      <c r="J38" s="4">
        <v>2</v>
      </c>
      <c r="K38" s="4">
        <v>0</v>
      </c>
    </row>
    <row r="39" spans="1:11" x14ac:dyDescent="0.25">
      <c r="A39" s="2">
        <v>36</v>
      </c>
      <c r="B39" s="3" t="s">
        <v>48</v>
      </c>
      <c r="C39" s="4">
        <f t="shared" si="0"/>
        <v>4</v>
      </c>
      <c r="D39" s="4">
        <v>0</v>
      </c>
      <c r="E39" s="4">
        <v>1</v>
      </c>
      <c r="F39" s="4">
        <v>3</v>
      </c>
      <c r="G39" s="4">
        <f t="shared" si="1"/>
        <v>2</v>
      </c>
      <c r="H39" s="4">
        <v>1</v>
      </c>
      <c r="I39" s="4">
        <v>1</v>
      </c>
      <c r="J39" s="4">
        <v>0</v>
      </c>
      <c r="K39" s="4">
        <v>0</v>
      </c>
    </row>
    <row r="40" spans="1:11" x14ac:dyDescent="0.25">
      <c r="A40" s="2">
        <v>37</v>
      </c>
      <c r="B40" s="3" t="s">
        <v>49</v>
      </c>
      <c r="C40" s="4">
        <f t="shared" si="0"/>
        <v>1</v>
      </c>
      <c r="D40" s="4">
        <v>0</v>
      </c>
      <c r="E40" s="4">
        <v>0</v>
      </c>
      <c r="F40" s="4">
        <v>1</v>
      </c>
      <c r="G40" s="4">
        <f t="shared" si="1"/>
        <v>1</v>
      </c>
      <c r="H40" s="4">
        <v>0</v>
      </c>
      <c r="I40" s="4">
        <v>1</v>
      </c>
      <c r="J40" s="4">
        <v>0</v>
      </c>
      <c r="K40" s="4">
        <v>0</v>
      </c>
    </row>
    <row r="41" spans="1:11" x14ac:dyDescent="0.25">
      <c r="A41" s="2">
        <v>38</v>
      </c>
      <c r="B41" s="3" t="s">
        <v>50</v>
      </c>
      <c r="C41" s="4">
        <f t="shared" si="0"/>
        <v>1</v>
      </c>
      <c r="D41" s="4">
        <v>0</v>
      </c>
      <c r="E41" s="4">
        <v>0</v>
      </c>
      <c r="F41" s="4">
        <v>1</v>
      </c>
      <c r="G41" s="4">
        <f t="shared" si="1"/>
        <v>1</v>
      </c>
      <c r="H41" s="4">
        <v>0</v>
      </c>
      <c r="I41" s="4">
        <v>1</v>
      </c>
      <c r="J41" s="4">
        <v>0</v>
      </c>
      <c r="K41" s="4">
        <v>0</v>
      </c>
    </row>
    <row r="42" spans="1:11" x14ac:dyDescent="0.25">
      <c r="A42" s="2">
        <v>39</v>
      </c>
      <c r="B42" s="3" t="s">
        <v>51</v>
      </c>
      <c r="C42" s="4">
        <f t="shared" si="0"/>
        <v>2</v>
      </c>
      <c r="D42" s="4">
        <v>0</v>
      </c>
      <c r="E42" s="4">
        <v>0</v>
      </c>
      <c r="F42" s="4">
        <v>2</v>
      </c>
      <c r="G42" s="4">
        <f t="shared" si="1"/>
        <v>1</v>
      </c>
      <c r="H42" s="4">
        <v>0</v>
      </c>
      <c r="I42" s="4">
        <v>1</v>
      </c>
      <c r="J42" s="4">
        <v>0</v>
      </c>
      <c r="K42" s="4">
        <v>0</v>
      </c>
    </row>
    <row r="43" spans="1:11" x14ac:dyDescent="0.25">
      <c r="A43" s="2">
        <v>40</v>
      </c>
      <c r="B43" s="3" t="s">
        <v>52</v>
      </c>
      <c r="C43" s="4">
        <f t="shared" si="0"/>
        <v>5</v>
      </c>
      <c r="D43" s="4">
        <v>0</v>
      </c>
      <c r="E43" s="4">
        <v>0</v>
      </c>
      <c r="F43" s="4">
        <v>5</v>
      </c>
      <c r="G43" s="4">
        <f t="shared" si="1"/>
        <v>4</v>
      </c>
      <c r="H43" s="4">
        <v>0</v>
      </c>
      <c r="I43" s="4">
        <v>1</v>
      </c>
      <c r="J43" s="4">
        <v>3</v>
      </c>
      <c r="K43" s="4">
        <v>0</v>
      </c>
    </row>
    <row r="44" spans="1:11" x14ac:dyDescent="0.25">
      <c r="A44" s="2">
        <v>41</v>
      </c>
      <c r="B44" s="3" t="s">
        <v>53</v>
      </c>
      <c r="C44" s="4">
        <f t="shared" si="0"/>
        <v>4</v>
      </c>
      <c r="D44" s="4">
        <v>0</v>
      </c>
      <c r="E44" s="4">
        <v>0</v>
      </c>
      <c r="F44" s="4">
        <v>4</v>
      </c>
      <c r="G44" s="4">
        <f t="shared" si="1"/>
        <v>3</v>
      </c>
      <c r="H44" s="4">
        <v>0</v>
      </c>
      <c r="I44" s="4">
        <v>2</v>
      </c>
      <c r="J44" s="4">
        <v>1</v>
      </c>
      <c r="K44" s="4">
        <v>0</v>
      </c>
    </row>
    <row r="45" spans="1:11" x14ac:dyDescent="0.25">
      <c r="A45" s="2">
        <v>42</v>
      </c>
      <c r="B45" s="3" t="s">
        <v>54</v>
      </c>
      <c r="C45" s="4">
        <f t="shared" si="0"/>
        <v>1</v>
      </c>
      <c r="D45" s="4">
        <v>0</v>
      </c>
      <c r="E45" s="4">
        <v>0</v>
      </c>
      <c r="F45" s="4">
        <v>1</v>
      </c>
      <c r="G45" s="4">
        <f t="shared" si="1"/>
        <v>1</v>
      </c>
      <c r="H45" s="4">
        <v>0</v>
      </c>
      <c r="I45" s="4">
        <v>1</v>
      </c>
      <c r="J45" s="4">
        <v>0</v>
      </c>
      <c r="K45" s="4">
        <v>0</v>
      </c>
    </row>
    <row r="46" spans="1:11" x14ac:dyDescent="0.25">
      <c r="A46" s="2">
        <v>43</v>
      </c>
      <c r="B46" s="3" t="s">
        <v>55</v>
      </c>
      <c r="C46" s="4">
        <f t="shared" si="0"/>
        <v>9</v>
      </c>
      <c r="D46" s="4">
        <v>0</v>
      </c>
      <c r="E46" s="4">
        <v>0</v>
      </c>
      <c r="F46" s="4">
        <v>9</v>
      </c>
      <c r="G46" s="4">
        <f t="shared" si="1"/>
        <v>2</v>
      </c>
      <c r="H46" s="4">
        <v>0</v>
      </c>
      <c r="I46" s="4">
        <v>2</v>
      </c>
      <c r="J46" s="4">
        <v>0</v>
      </c>
      <c r="K46" s="4">
        <v>0</v>
      </c>
    </row>
    <row r="47" spans="1:11" x14ac:dyDescent="0.25">
      <c r="A47" s="2">
        <v>44</v>
      </c>
      <c r="B47" s="3" t="s">
        <v>56</v>
      </c>
      <c r="C47" s="4">
        <f t="shared" si="0"/>
        <v>4</v>
      </c>
      <c r="D47" s="4">
        <v>0</v>
      </c>
      <c r="E47" s="4">
        <v>0</v>
      </c>
      <c r="F47" s="4">
        <v>4</v>
      </c>
      <c r="G47" s="4">
        <f t="shared" si="1"/>
        <v>3</v>
      </c>
      <c r="H47" s="4">
        <v>0</v>
      </c>
      <c r="I47" s="4">
        <v>2</v>
      </c>
      <c r="J47" s="4">
        <v>1</v>
      </c>
      <c r="K47" s="4">
        <v>0</v>
      </c>
    </row>
    <row r="48" spans="1:11" x14ac:dyDescent="0.25">
      <c r="A48" s="2">
        <v>45</v>
      </c>
      <c r="B48" s="3" t="s">
        <v>57</v>
      </c>
      <c r="C48" s="4">
        <f t="shared" si="0"/>
        <v>2</v>
      </c>
      <c r="D48" s="4">
        <v>0</v>
      </c>
      <c r="E48" s="4">
        <v>0</v>
      </c>
      <c r="F48" s="4">
        <v>2</v>
      </c>
      <c r="G48" s="4">
        <f t="shared" si="1"/>
        <v>2</v>
      </c>
      <c r="H48" s="4">
        <v>0</v>
      </c>
      <c r="I48" s="4">
        <v>1</v>
      </c>
      <c r="J48" s="4">
        <v>1</v>
      </c>
      <c r="K48" s="4">
        <v>0</v>
      </c>
    </row>
    <row r="49" spans="1:11" x14ac:dyDescent="0.25">
      <c r="A49" s="2">
        <v>46</v>
      </c>
      <c r="B49" s="3" t="s">
        <v>58</v>
      </c>
      <c r="C49" s="4">
        <f t="shared" si="0"/>
        <v>2</v>
      </c>
      <c r="D49" s="4">
        <v>0</v>
      </c>
      <c r="E49" s="4">
        <v>0</v>
      </c>
      <c r="F49" s="4">
        <v>2</v>
      </c>
      <c r="G49" s="4">
        <f t="shared" si="1"/>
        <v>2</v>
      </c>
      <c r="H49" s="4">
        <v>0</v>
      </c>
      <c r="I49" s="4">
        <v>1</v>
      </c>
      <c r="J49" s="4">
        <v>1</v>
      </c>
      <c r="K49" s="4">
        <v>0</v>
      </c>
    </row>
    <row r="50" spans="1:11" x14ac:dyDescent="0.25">
      <c r="A50" s="2">
        <v>47</v>
      </c>
      <c r="B50" s="3" t="s">
        <v>59</v>
      </c>
      <c r="C50" s="4">
        <f t="shared" si="0"/>
        <v>1</v>
      </c>
      <c r="D50" s="4">
        <v>0</v>
      </c>
      <c r="E50" s="4">
        <v>0</v>
      </c>
      <c r="F50" s="4">
        <v>1</v>
      </c>
      <c r="G50" s="4">
        <f t="shared" si="1"/>
        <v>1</v>
      </c>
      <c r="H50" s="4">
        <v>0</v>
      </c>
      <c r="I50" s="4">
        <v>1</v>
      </c>
      <c r="J50" s="4">
        <v>0</v>
      </c>
      <c r="K50" s="4">
        <v>0</v>
      </c>
    </row>
    <row r="51" spans="1:11" x14ac:dyDescent="0.25">
      <c r="A51" s="2">
        <v>48</v>
      </c>
      <c r="B51" s="3" t="s">
        <v>60</v>
      </c>
      <c r="C51" s="4">
        <f t="shared" si="0"/>
        <v>2</v>
      </c>
      <c r="D51" s="4">
        <v>0</v>
      </c>
      <c r="E51" s="4">
        <v>0</v>
      </c>
      <c r="F51" s="4">
        <v>2</v>
      </c>
      <c r="G51" s="4">
        <f t="shared" si="1"/>
        <v>2</v>
      </c>
      <c r="H51" s="4">
        <v>0</v>
      </c>
      <c r="I51" s="4">
        <v>1</v>
      </c>
      <c r="J51" s="4">
        <v>1</v>
      </c>
      <c r="K51" s="4">
        <v>0</v>
      </c>
    </row>
    <row r="52" spans="1:11" x14ac:dyDescent="0.25">
      <c r="A52" s="2">
        <v>49</v>
      </c>
      <c r="B52" s="3" t="s">
        <v>61</v>
      </c>
      <c r="C52" s="4">
        <f t="shared" si="0"/>
        <v>8</v>
      </c>
      <c r="D52" s="4">
        <v>0</v>
      </c>
      <c r="E52" s="4">
        <v>3</v>
      </c>
      <c r="F52" s="4">
        <v>5</v>
      </c>
      <c r="G52" s="4">
        <f t="shared" si="1"/>
        <v>4</v>
      </c>
      <c r="H52" s="4">
        <v>0</v>
      </c>
      <c r="I52" s="4">
        <v>1</v>
      </c>
      <c r="J52" s="4">
        <v>3</v>
      </c>
      <c r="K52" s="4">
        <v>0</v>
      </c>
    </row>
    <row r="53" spans="1:11" x14ac:dyDescent="0.25">
      <c r="A53" s="2">
        <v>50</v>
      </c>
      <c r="B53" s="3" t="s">
        <v>62</v>
      </c>
      <c r="C53" s="4">
        <f t="shared" si="0"/>
        <v>1</v>
      </c>
      <c r="D53" s="4">
        <v>0</v>
      </c>
      <c r="E53" s="4">
        <v>0</v>
      </c>
      <c r="F53" s="4">
        <v>1</v>
      </c>
      <c r="G53" s="4">
        <f t="shared" si="1"/>
        <v>1</v>
      </c>
      <c r="H53" s="4">
        <v>0</v>
      </c>
      <c r="I53" s="4">
        <v>1</v>
      </c>
      <c r="J53" s="4">
        <v>0</v>
      </c>
      <c r="K53" s="4">
        <v>0</v>
      </c>
    </row>
    <row r="54" spans="1:11" x14ac:dyDescent="0.25">
      <c r="A54" s="2">
        <v>51</v>
      </c>
      <c r="B54" s="3" t="s">
        <v>63</v>
      </c>
      <c r="C54" s="4">
        <f t="shared" si="0"/>
        <v>1</v>
      </c>
      <c r="D54" s="4">
        <v>0</v>
      </c>
      <c r="E54" s="4">
        <v>0</v>
      </c>
      <c r="F54" s="4">
        <v>1</v>
      </c>
      <c r="G54" s="4">
        <f t="shared" si="1"/>
        <v>1</v>
      </c>
      <c r="H54" s="4">
        <v>0</v>
      </c>
      <c r="I54" s="4">
        <v>0</v>
      </c>
      <c r="J54" s="4">
        <v>1</v>
      </c>
      <c r="K54" s="4">
        <v>0</v>
      </c>
    </row>
    <row r="55" spans="1:11" x14ac:dyDescent="0.25">
      <c r="A55" s="2">
        <v>52</v>
      </c>
      <c r="B55" s="3" t="s">
        <v>64</v>
      </c>
      <c r="C55" s="4">
        <f t="shared" si="0"/>
        <v>3</v>
      </c>
      <c r="D55" s="4">
        <v>0</v>
      </c>
      <c r="E55" s="4">
        <v>0</v>
      </c>
      <c r="F55" s="4">
        <v>3</v>
      </c>
      <c r="G55" s="4">
        <f t="shared" si="1"/>
        <v>1</v>
      </c>
      <c r="H55" s="4">
        <v>0</v>
      </c>
      <c r="I55" s="4">
        <v>1</v>
      </c>
      <c r="J55" s="4">
        <v>0</v>
      </c>
      <c r="K55" s="4">
        <v>0</v>
      </c>
    </row>
    <row r="56" spans="1:11" x14ac:dyDescent="0.25">
      <c r="A56" s="2">
        <v>53</v>
      </c>
      <c r="B56" s="3" t="s">
        <v>65</v>
      </c>
      <c r="C56" s="4">
        <f t="shared" si="0"/>
        <v>1</v>
      </c>
      <c r="D56" s="4">
        <v>0</v>
      </c>
      <c r="E56" s="4">
        <v>0</v>
      </c>
      <c r="F56" s="4">
        <v>1</v>
      </c>
      <c r="G56" s="4">
        <f t="shared" si="1"/>
        <v>1</v>
      </c>
      <c r="H56" s="4">
        <v>0</v>
      </c>
      <c r="I56" s="4">
        <v>1</v>
      </c>
      <c r="J56" s="4">
        <v>0</v>
      </c>
      <c r="K56" s="4">
        <v>0</v>
      </c>
    </row>
    <row r="57" spans="1:11" x14ac:dyDescent="0.25">
      <c r="A57" s="2">
        <v>54</v>
      </c>
      <c r="B57" s="3" t="s">
        <v>66</v>
      </c>
      <c r="C57" s="4">
        <f t="shared" si="0"/>
        <v>1</v>
      </c>
      <c r="D57" s="4">
        <v>0</v>
      </c>
      <c r="E57" s="4">
        <v>0</v>
      </c>
      <c r="F57" s="4">
        <v>1</v>
      </c>
      <c r="G57" s="4">
        <f t="shared" si="1"/>
        <v>1</v>
      </c>
      <c r="H57" s="4">
        <v>0</v>
      </c>
      <c r="I57" s="4">
        <v>1</v>
      </c>
      <c r="J57" s="4">
        <v>0</v>
      </c>
      <c r="K57" s="2">
        <v>0</v>
      </c>
    </row>
    <row r="58" spans="1:11" x14ac:dyDescent="0.25">
      <c r="A58" s="2">
        <v>55</v>
      </c>
      <c r="B58" s="3" t="s">
        <v>67</v>
      </c>
      <c r="C58" s="4">
        <f t="shared" si="0"/>
        <v>1</v>
      </c>
      <c r="D58" s="4">
        <v>0</v>
      </c>
      <c r="E58" s="4">
        <v>0</v>
      </c>
      <c r="F58" s="4">
        <v>1</v>
      </c>
      <c r="G58" s="4">
        <f t="shared" si="1"/>
        <v>1</v>
      </c>
      <c r="H58" s="4">
        <v>1</v>
      </c>
      <c r="I58" s="4">
        <v>0</v>
      </c>
      <c r="J58" s="4">
        <v>0</v>
      </c>
      <c r="K58" s="2">
        <v>0</v>
      </c>
    </row>
    <row r="59" spans="1:11" x14ac:dyDescent="0.25">
      <c r="A59" s="2">
        <v>56</v>
      </c>
      <c r="B59" s="3" t="s">
        <v>68</v>
      </c>
      <c r="C59" s="4">
        <f t="shared" si="0"/>
        <v>3</v>
      </c>
      <c r="D59" s="4">
        <v>0</v>
      </c>
      <c r="E59" s="4">
        <v>2</v>
      </c>
      <c r="F59" s="4">
        <v>1</v>
      </c>
      <c r="G59" s="4">
        <f t="shared" si="1"/>
        <v>2</v>
      </c>
      <c r="H59" s="4">
        <v>1</v>
      </c>
      <c r="I59" s="4">
        <v>1</v>
      </c>
      <c r="J59" s="4">
        <v>0</v>
      </c>
      <c r="K59" s="4">
        <v>0</v>
      </c>
    </row>
    <row r="60" spans="1:11" x14ac:dyDescent="0.25">
      <c r="A60" s="2">
        <v>57</v>
      </c>
      <c r="B60" s="3" t="s">
        <v>69</v>
      </c>
      <c r="C60" s="4">
        <f t="shared" si="0"/>
        <v>2</v>
      </c>
      <c r="D60" s="4">
        <v>0</v>
      </c>
      <c r="E60" s="4">
        <v>0</v>
      </c>
      <c r="F60" s="4">
        <v>2</v>
      </c>
      <c r="G60" s="4">
        <f t="shared" si="1"/>
        <v>2</v>
      </c>
      <c r="H60" s="4">
        <v>0</v>
      </c>
      <c r="I60" s="4">
        <v>0</v>
      </c>
      <c r="J60" s="4">
        <v>2</v>
      </c>
      <c r="K60" s="4">
        <v>0</v>
      </c>
    </row>
    <row r="61" spans="1:11" x14ac:dyDescent="0.25">
      <c r="A61" s="2">
        <v>58</v>
      </c>
      <c r="B61" s="3" t="s">
        <v>70</v>
      </c>
      <c r="C61" s="4">
        <f t="shared" si="0"/>
        <v>3</v>
      </c>
      <c r="D61" s="4">
        <v>0</v>
      </c>
      <c r="E61" s="4">
        <v>0</v>
      </c>
      <c r="F61" s="4">
        <v>3</v>
      </c>
      <c r="G61" s="4">
        <f t="shared" si="1"/>
        <v>3</v>
      </c>
      <c r="H61" s="4">
        <v>0</v>
      </c>
      <c r="I61" s="4">
        <v>1</v>
      </c>
      <c r="J61" s="4">
        <v>1</v>
      </c>
      <c r="K61" s="4">
        <v>1</v>
      </c>
    </row>
    <row r="62" spans="1:11" x14ac:dyDescent="0.25">
      <c r="A62" s="2">
        <v>59</v>
      </c>
      <c r="B62" s="3" t="s">
        <v>71</v>
      </c>
      <c r="C62" s="4">
        <f t="shared" si="0"/>
        <v>15</v>
      </c>
      <c r="D62" s="4">
        <v>0</v>
      </c>
      <c r="E62" s="4">
        <v>7</v>
      </c>
      <c r="F62" s="4">
        <v>8</v>
      </c>
      <c r="G62" s="4">
        <f t="shared" si="1"/>
        <v>6</v>
      </c>
      <c r="H62" s="4">
        <v>1</v>
      </c>
      <c r="I62" s="4">
        <v>3</v>
      </c>
      <c r="J62" s="4">
        <v>2</v>
      </c>
      <c r="K62" s="4">
        <v>0</v>
      </c>
    </row>
    <row r="63" spans="1:11" x14ac:dyDescent="0.25">
      <c r="A63" s="2">
        <v>60</v>
      </c>
      <c r="B63" s="3" t="s">
        <v>72</v>
      </c>
      <c r="C63" s="4">
        <f t="shared" si="0"/>
        <v>2</v>
      </c>
      <c r="D63" s="4">
        <v>0</v>
      </c>
      <c r="E63" s="4">
        <v>0</v>
      </c>
      <c r="F63" s="4">
        <v>2</v>
      </c>
      <c r="G63" s="4">
        <f t="shared" si="1"/>
        <v>2</v>
      </c>
      <c r="H63" s="4">
        <v>0</v>
      </c>
      <c r="I63" s="4">
        <v>0</v>
      </c>
      <c r="J63" s="4">
        <v>2</v>
      </c>
      <c r="K63" s="4">
        <v>0</v>
      </c>
    </row>
    <row r="64" spans="1:11" x14ac:dyDescent="0.25">
      <c r="A64" s="2">
        <v>61</v>
      </c>
      <c r="B64" s="3" t="s">
        <v>73</v>
      </c>
      <c r="C64" s="4">
        <f t="shared" si="0"/>
        <v>17</v>
      </c>
      <c r="D64" s="4">
        <v>0</v>
      </c>
      <c r="E64" s="4">
        <v>5</v>
      </c>
      <c r="F64" s="4">
        <v>12</v>
      </c>
      <c r="G64" s="4">
        <f t="shared" si="1"/>
        <v>8</v>
      </c>
      <c r="H64" s="4">
        <v>3</v>
      </c>
      <c r="I64" s="4">
        <v>3</v>
      </c>
      <c r="J64" s="4">
        <v>2</v>
      </c>
      <c r="K64" s="4">
        <v>0</v>
      </c>
    </row>
    <row r="65" spans="1:11" x14ac:dyDescent="0.25">
      <c r="A65" s="2">
        <v>62</v>
      </c>
      <c r="B65" s="3" t="s">
        <v>74</v>
      </c>
      <c r="C65" s="4">
        <f t="shared" si="0"/>
        <v>3</v>
      </c>
      <c r="D65" s="4">
        <v>0</v>
      </c>
      <c r="E65" s="4">
        <v>0</v>
      </c>
      <c r="F65" s="4">
        <v>3</v>
      </c>
      <c r="G65" s="4">
        <f t="shared" si="1"/>
        <v>2</v>
      </c>
      <c r="H65" s="4">
        <v>0</v>
      </c>
      <c r="I65" s="4">
        <v>2</v>
      </c>
      <c r="J65" s="4">
        <v>0</v>
      </c>
      <c r="K65" s="4">
        <v>0</v>
      </c>
    </row>
    <row r="66" spans="1:11" x14ac:dyDescent="0.25">
      <c r="A66" s="2">
        <v>63</v>
      </c>
      <c r="B66" s="3" t="s">
        <v>75</v>
      </c>
      <c r="C66" s="4">
        <f t="shared" si="0"/>
        <v>5</v>
      </c>
      <c r="D66" s="4">
        <v>0</v>
      </c>
      <c r="E66" s="4">
        <v>0</v>
      </c>
      <c r="F66" s="4">
        <v>5</v>
      </c>
      <c r="G66" s="4">
        <f t="shared" si="1"/>
        <v>2</v>
      </c>
      <c r="H66" s="4">
        <v>0</v>
      </c>
      <c r="I66" s="4">
        <v>1</v>
      </c>
      <c r="J66" s="4">
        <v>1</v>
      </c>
      <c r="K66" s="4">
        <v>0</v>
      </c>
    </row>
    <row r="67" spans="1:11" x14ac:dyDescent="0.25">
      <c r="A67" s="2">
        <v>64</v>
      </c>
      <c r="B67" s="3" t="s">
        <v>76</v>
      </c>
      <c r="C67" s="4">
        <f t="shared" si="0"/>
        <v>5</v>
      </c>
      <c r="D67" s="4">
        <v>0</v>
      </c>
      <c r="E67" s="4">
        <v>0</v>
      </c>
      <c r="F67" s="4">
        <v>5</v>
      </c>
      <c r="G67" s="4">
        <f t="shared" si="1"/>
        <v>3</v>
      </c>
      <c r="H67" s="4">
        <v>0</v>
      </c>
      <c r="I67" s="4">
        <v>1</v>
      </c>
      <c r="J67" s="4">
        <v>2</v>
      </c>
      <c r="K67" s="4">
        <v>0</v>
      </c>
    </row>
    <row r="68" spans="1:11" x14ac:dyDescent="0.25">
      <c r="A68" s="2">
        <v>65</v>
      </c>
      <c r="B68" s="3" t="s">
        <v>77</v>
      </c>
      <c r="C68" s="4">
        <f t="shared" si="0"/>
        <v>3</v>
      </c>
      <c r="D68" s="4">
        <v>0</v>
      </c>
      <c r="E68" s="4">
        <v>0</v>
      </c>
      <c r="F68" s="4">
        <v>3</v>
      </c>
      <c r="G68" s="4">
        <f t="shared" si="1"/>
        <v>2</v>
      </c>
      <c r="H68" s="4">
        <v>1</v>
      </c>
      <c r="I68" s="4">
        <v>0</v>
      </c>
      <c r="J68" s="4">
        <v>1</v>
      </c>
      <c r="K68" s="4">
        <v>0</v>
      </c>
    </row>
    <row r="69" spans="1:11" x14ac:dyDescent="0.25">
      <c r="A69" s="2">
        <v>66</v>
      </c>
      <c r="B69" s="3" t="s">
        <v>78</v>
      </c>
      <c r="C69" s="4">
        <f t="shared" ref="C69:C87" si="2">SUM(D69:F69)</f>
        <v>17</v>
      </c>
      <c r="D69" s="4">
        <v>0</v>
      </c>
      <c r="E69" s="4">
        <v>5</v>
      </c>
      <c r="F69" s="4">
        <v>12</v>
      </c>
      <c r="G69" s="4">
        <f t="shared" ref="G69:G87" si="3">SUM(H69:K69)</f>
        <v>3</v>
      </c>
      <c r="H69" s="4">
        <v>2</v>
      </c>
      <c r="I69" s="4">
        <v>1</v>
      </c>
      <c r="J69" s="4">
        <v>0</v>
      </c>
      <c r="K69" s="4">
        <v>0</v>
      </c>
    </row>
    <row r="70" spans="1:11" x14ac:dyDescent="0.25">
      <c r="A70" s="2">
        <v>67</v>
      </c>
      <c r="B70" s="3" t="s">
        <v>79</v>
      </c>
      <c r="C70" s="4">
        <f t="shared" si="2"/>
        <v>5</v>
      </c>
      <c r="D70" s="4">
        <v>0</v>
      </c>
      <c r="E70" s="4">
        <v>0</v>
      </c>
      <c r="F70" s="4">
        <v>5</v>
      </c>
      <c r="G70" s="4">
        <f t="shared" si="3"/>
        <v>5</v>
      </c>
      <c r="H70" s="4">
        <v>0</v>
      </c>
      <c r="I70" s="4">
        <v>1</v>
      </c>
      <c r="J70" s="4">
        <v>3</v>
      </c>
      <c r="K70" s="4">
        <v>1</v>
      </c>
    </row>
    <row r="71" spans="1:11" x14ac:dyDescent="0.25">
      <c r="A71" s="2">
        <v>68</v>
      </c>
      <c r="B71" s="3" t="s">
        <v>80</v>
      </c>
      <c r="C71" s="4">
        <f t="shared" si="2"/>
        <v>4</v>
      </c>
      <c r="D71" s="4">
        <v>0</v>
      </c>
      <c r="E71" s="4">
        <v>0</v>
      </c>
      <c r="F71" s="4">
        <v>4</v>
      </c>
      <c r="G71" s="4">
        <f t="shared" si="3"/>
        <v>4</v>
      </c>
      <c r="H71" s="4">
        <v>0</v>
      </c>
      <c r="I71" s="4">
        <v>2</v>
      </c>
      <c r="J71" s="4">
        <v>1</v>
      </c>
      <c r="K71" s="4">
        <v>1</v>
      </c>
    </row>
    <row r="72" spans="1:11" x14ac:dyDescent="0.25">
      <c r="A72" s="2">
        <v>69</v>
      </c>
      <c r="B72" s="3" t="s">
        <v>81</v>
      </c>
      <c r="C72" s="4">
        <f t="shared" si="2"/>
        <v>7</v>
      </c>
      <c r="D72" s="4">
        <v>0</v>
      </c>
      <c r="E72" s="4">
        <v>0</v>
      </c>
      <c r="F72" s="4">
        <v>7</v>
      </c>
      <c r="G72" s="5">
        <f t="shared" si="3"/>
        <v>3</v>
      </c>
      <c r="H72" s="5">
        <v>0</v>
      </c>
      <c r="I72" s="5">
        <v>1</v>
      </c>
      <c r="J72" s="4">
        <v>2</v>
      </c>
      <c r="K72" s="4">
        <v>0</v>
      </c>
    </row>
    <row r="73" spans="1:11" x14ac:dyDescent="0.25">
      <c r="A73" s="2">
        <v>70</v>
      </c>
      <c r="B73" s="3" t="s">
        <v>82</v>
      </c>
      <c r="C73" s="4">
        <f t="shared" si="2"/>
        <v>3</v>
      </c>
      <c r="D73" s="4">
        <v>0</v>
      </c>
      <c r="E73" s="4">
        <v>0</v>
      </c>
      <c r="F73" s="4">
        <v>3</v>
      </c>
      <c r="G73" s="4">
        <f t="shared" si="3"/>
        <v>2</v>
      </c>
      <c r="H73" s="4">
        <v>0</v>
      </c>
      <c r="I73" s="4">
        <v>1</v>
      </c>
      <c r="J73" s="4">
        <v>1</v>
      </c>
      <c r="K73" s="4">
        <v>0</v>
      </c>
    </row>
    <row r="74" spans="1:11" x14ac:dyDescent="0.25">
      <c r="A74" s="2">
        <v>71</v>
      </c>
      <c r="B74" s="3" t="s">
        <v>83</v>
      </c>
      <c r="C74" s="4">
        <f t="shared" si="2"/>
        <v>3</v>
      </c>
      <c r="D74" s="4">
        <v>0</v>
      </c>
      <c r="E74" s="4">
        <v>0</v>
      </c>
      <c r="F74" s="4">
        <v>3</v>
      </c>
      <c r="G74" s="4">
        <f t="shared" si="3"/>
        <v>3</v>
      </c>
      <c r="H74" s="4">
        <v>0</v>
      </c>
      <c r="I74" s="4">
        <v>1</v>
      </c>
      <c r="J74" s="4">
        <v>2</v>
      </c>
      <c r="K74" s="4">
        <v>0</v>
      </c>
    </row>
    <row r="75" spans="1:11" x14ac:dyDescent="0.25">
      <c r="A75" s="2">
        <v>72</v>
      </c>
      <c r="B75" s="3" t="s">
        <v>84</v>
      </c>
      <c r="C75" s="4">
        <f t="shared" si="2"/>
        <v>10</v>
      </c>
      <c r="D75" s="4">
        <v>0</v>
      </c>
      <c r="E75" s="4">
        <v>0</v>
      </c>
      <c r="F75" s="4">
        <v>10</v>
      </c>
      <c r="G75" s="4">
        <f t="shared" si="3"/>
        <v>7</v>
      </c>
      <c r="H75" s="4">
        <v>0</v>
      </c>
      <c r="I75" s="4">
        <v>3</v>
      </c>
      <c r="J75" s="4">
        <v>4</v>
      </c>
      <c r="K75" s="4">
        <v>0</v>
      </c>
    </row>
    <row r="76" spans="1:11" x14ac:dyDescent="0.25">
      <c r="A76" s="2">
        <v>73</v>
      </c>
      <c r="B76" s="3" t="s">
        <v>85</v>
      </c>
      <c r="C76" s="4">
        <f t="shared" si="2"/>
        <v>9</v>
      </c>
      <c r="D76" s="4">
        <v>0</v>
      </c>
      <c r="E76" s="4">
        <v>0</v>
      </c>
      <c r="F76" s="4">
        <v>9</v>
      </c>
      <c r="G76" s="4">
        <f t="shared" si="3"/>
        <v>3</v>
      </c>
      <c r="H76" s="4">
        <v>1</v>
      </c>
      <c r="I76" s="4">
        <v>0</v>
      </c>
      <c r="J76" s="4">
        <v>2</v>
      </c>
      <c r="K76" s="4">
        <v>0</v>
      </c>
    </row>
    <row r="77" spans="1:11" x14ac:dyDescent="0.25">
      <c r="A77" s="2">
        <v>74</v>
      </c>
      <c r="B77" s="3" t="s">
        <v>86</v>
      </c>
      <c r="C77" s="4">
        <f t="shared" si="2"/>
        <v>7</v>
      </c>
      <c r="D77" s="4">
        <v>0</v>
      </c>
      <c r="E77" s="4">
        <v>0</v>
      </c>
      <c r="F77" s="4">
        <v>7</v>
      </c>
      <c r="G77" s="4">
        <f t="shared" si="3"/>
        <v>4</v>
      </c>
      <c r="H77" s="4">
        <v>0</v>
      </c>
      <c r="I77" s="4">
        <v>4</v>
      </c>
      <c r="J77" s="4">
        <v>0</v>
      </c>
      <c r="K77" s="4">
        <v>0</v>
      </c>
    </row>
    <row r="78" spans="1:11" x14ac:dyDescent="0.25">
      <c r="A78" s="2">
        <v>75</v>
      </c>
      <c r="B78" s="3" t="s">
        <v>87</v>
      </c>
      <c r="C78" s="4">
        <f t="shared" si="2"/>
        <v>3</v>
      </c>
      <c r="D78" s="4">
        <v>0</v>
      </c>
      <c r="E78" s="4">
        <v>0</v>
      </c>
      <c r="F78" s="4">
        <v>3</v>
      </c>
      <c r="G78" s="4">
        <f t="shared" si="3"/>
        <v>2</v>
      </c>
      <c r="H78" s="4">
        <v>0</v>
      </c>
      <c r="I78" s="4">
        <v>1</v>
      </c>
      <c r="J78" s="4">
        <v>1</v>
      </c>
      <c r="K78" s="4">
        <v>0</v>
      </c>
    </row>
    <row r="79" spans="1:11" x14ac:dyDescent="0.25">
      <c r="A79" s="2">
        <v>76</v>
      </c>
      <c r="B79" s="3" t="s">
        <v>88</v>
      </c>
      <c r="C79" s="4">
        <f t="shared" si="2"/>
        <v>12</v>
      </c>
      <c r="D79" s="4">
        <v>0</v>
      </c>
      <c r="E79" s="4">
        <v>4</v>
      </c>
      <c r="F79" s="4">
        <v>8</v>
      </c>
      <c r="G79" s="4">
        <f t="shared" si="3"/>
        <v>3</v>
      </c>
      <c r="H79" s="4">
        <v>0</v>
      </c>
      <c r="I79" s="4">
        <v>3</v>
      </c>
      <c r="J79" s="4">
        <v>0</v>
      </c>
      <c r="K79" s="4">
        <v>0</v>
      </c>
    </row>
    <row r="80" spans="1:11" x14ac:dyDescent="0.25">
      <c r="A80" s="2">
        <v>77</v>
      </c>
      <c r="B80" s="3" t="s">
        <v>89</v>
      </c>
      <c r="C80" s="4">
        <f t="shared" si="2"/>
        <v>5</v>
      </c>
      <c r="D80" s="4">
        <v>0</v>
      </c>
      <c r="E80" s="4">
        <v>0</v>
      </c>
      <c r="F80" s="4">
        <v>5</v>
      </c>
      <c r="G80" s="4">
        <f t="shared" si="3"/>
        <v>4</v>
      </c>
      <c r="H80" s="4">
        <v>0</v>
      </c>
      <c r="I80" s="4">
        <v>2</v>
      </c>
      <c r="J80" s="4">
        <v>2</v>
      </c>
      <c r="K80" s="4">
        <v>0</v>
      </c>
    </row>
    <row r="81" spans="1:11" x14ac:dyDescent="0.25">
      <c r="A81" s="2">
        <v>78</v>
      </c>
      <c r="B81" s="3" t="s">
        <v>90</v>
      </c>
      <c r="C81" s="4">
        <f t="shared" si="2"/>
        <v>7</v>
      </c>
      <c r="D81" s="4">
        <v>0</v>
      </c>
      <c r="E81" s="4">
        <v>0</v>
      </c>
      <c r="F81" s="4">
        <v>7</v>
      </c>
      <c r="G81" s="4">
        <f t="shared" si="3"/>
        <v>5</v>
      </c>
      <c r="H81" s="4">
        <v>0</v>
      </c>
      <c r="I81" s="4">
        <v>3</v>
      </c>
      <c r="J81" s="4">
        <v>2</v>
      </c>
      <c r="K81" s="4">
        <v>0</v>
      </c>
    </row>
    <row r="82" spans="1:11" x14ac:dyDescent="0.25">
      <c r="A82" s="2">
        <v>79</v>
      </c>
      <c r="B82" s="3" t="s">
        <v>91</v>
      </c>
      <c r="C82" s="4">
        <f t="shared" si="2"/>
        <v>3</v>
      </c>
      <c r="D82" s="4">
        <v>0</v>
      </c>
      <c r="E82" s="4">
        <v>0</v>
      </c>
      <c r="F82" s="4">
        <v>3</v>
      </c>
      <c r="G82" s="4">
        <f t="shared" si="3"/>
        <v>2</v>
      </c>
      <c r="H82" s="4">
        <v>0</v>
      </c>
      <c r="I82" s="4">
        <v>2</v>
      </c>
      <c r="J82" s="4">
        <v>0</v>
      </c>
      <c r="K82" s="4">
        <v>0</v>
      </c>
    </row>
    <row r="83" spans="1:11" x14ac:dyDescent="0.25">
      <c r="A83" s="2">
        <v>80</v>
      </c>
      <c r="B83" s="3" t="s">
        <v>92</v>
      </c>
      <c r="C83" s="4">
        <f t="shared" si="2"/>
        <v>40</v>
      </c>
      <c r="D83" s="4">
        <v>0</v>
      </c>
      <c r="E83" s="4">
        <v>4</v>
      </c>
      <c r="F83" s="4">
        <v>36</v>
      </c>
      <c r="G83" s="4">
        <f t="shared" si="3"/>
        <v>14</v>
      </c>
      <c r="H83" s="4">
        <v>5</v>
      </c>
      <c r="I83" s="4">
        <v>4</v>
      </c>
      <c r="J83" s="4">
        <v>5</v>
      </c>
      <c r="K83" s="4">
        <v>0</v>
      </c>
    </row>
    <row r="84" spans="1:11" x14ac:dyDescent="0.25">
      <c r="A84" s="2">
        <v>81</v>
      </c>
      <c r="B84" s="3" t="s">
        <v>93</v>
      </c>
      <c r="C84" s="4">
        <f t="shared" si="2"/>
        <v>6</v>
      </c>
      <c r="D84" s="4">
        <v>0</v>
      </c>
      <c r="E84" s="4">
        <v>0</v>
      </c>
      <c r="F84" s="4">
        <v>6</v>
      </c>
      <c r="G84" s="4">
        <f t="shared" si="3"/>
        <v>3</v>
      </c>
      <c r="H84" s="4">
        <v>0</v>
      </c>
      <c r="I84" s="4">
        <v>3</v>
      </c>
      <c r="J84" s="4">
        <v>0</v>
      </c>
      <c r="K84" s="4">
        <v>0</v>
      </c>
    </row>
    <row r="85" spans="1:11" x14ac:dyDescent="0.25">
      <c r="A85" s="2">
        <v>82</v>
      </c>
      <c r="B85" s="3" t="s">
        <v>94</v>
      </c>
      <c r="C85" s="4">
        <f t="shared" si="2"/>
        <v>13</v>
      </c>
      <c r="D85" s="4">
        <v>0</v>
      </c>
      <c r="E85" s="4">
        <v>0</v>
      </c>
      <c r="F85" s="4">
        <v>13</v>
      </c>
      <c r="G85" s="4">
        <f t="shared" si="3"/>
        <v>4</v>
      </c>
      <c r="H85" s="4">
        <v>1</v>
      </c>
      <c r="I85" s="4">
        <v>2</v>
      </c>
      <c r="J85" s="4">
        <v>1</v>
      </c>
      <c r="K85" s="4">
        <v>0</v>
      </c>
    </row>
    <row r="86" spans="1:11" x14ac:dyDescent="0.25">
      <c r="A86" s="2">
        <v>83</v>
      </c>
      <c r="B86" s="3" t="s">
        <v>95</v>
      </c>
      <c r="C86" s="4">
        <f t="shared" si="2"/>
        <v>1</v>
      </c>
      <c r="D86" s="4">
        <v>0</v>
      </c>
      <c r="E86" s="4">
        <v>0</v>
      </c>
      <c r="F86" s="4">
        <v>1</v>
      </c>
      <c r="G86" s="4">
        <f t="shared" si="3"/>
        <v>1</v>
      </c>
      <c r="H86" s="4">
        <v>0</v>
      </c>
      <c r="I86" s="4">
        <v>1</v>
      </c>
      <c r="J86" s="4">
        <v>0</v>
      </c>
      <c r="K86" s="4">
        <v>0</v>
      </c>
    </row>
    <row r="87" spans="1:11" x14ac:dyDescent="0.25">
      <c r="A87" s="2">
        <v>84</v>
      </c>
      <c r="B87" s="3" t="s">
        <v>96</v>
      </c>
      <c r="C87" s="4">
        <f t="shared" si="2"/>
        <v>2</v>
      </c>
      <c r="D87" s="4">
        <v>0</v>
      </c>
      <c r="E87" s="4">
        <v>0</v>
      </c>
      <c r="F87" s="4">
        <v>2</v>
      </c>
      <c r="G87" s="4">
        <f t="shared" si="3"/>
        <v>2</v>
      </c>
      <c r="H87" s="4">
        <v>0</v>
      </c>
      <c r="I87" s="4">
        <v>2</v>
      </c>
      <c r="J87" s="4">
        <v>0</v>
      </c>
      <c r="K87" s="4">
        <v>0</v>
      </c>
    </row>
    <row r="88" spans="1:11" ht="20.25" customHeight="1" x14ac:dyDescent="0.25">
      <c r="A88" s="48" t="s">
        <v>97</v>
      </c>
      <c r="B88" s="49"/>
      <c r="C88" s="40">
        <f>SUM(C4:C87)</f>
        <v>535</v>
      </c>
      <c r="D88" s="40">
        <f>SUM(D4:D87)</f>
        <v>2</v>
      </c>
      <c r="E88" s="40">
        <f>SUM(E4:E87)</f>
        <v>51</v>
      </c>
      <c r="F88" s="40">
        <f>SUM(F4:F87)</f>
        <v>482</v>
      </c>
      <c r="G88" s="1">
        <f t="shared" ref="G88:K88" si="4">SUM(G4:G87)</f>
        <v>280</v>
      </c>
      <c r="H88" s="1">
        <f t="shared" si="4"/>
        <v>47</v>
      </c>
      <c r="I88" s="1">
        <f t="shared" si="4"/>
        <v>92</v>
      </c>
      <c r="J88" s="1">
        <f t="shared" si="4"/>
        <v>138</v>
      </c>
      <c r="K88" s="41">
        <f t="shared" si="4"/>
        <v>3</v>
      </c>
    </row>
    <row r="89" spans="1:11" x14ac:dyDescent="0.25">
      <c r="A89" s="42"/>
      <c r="B89" s="43"/>
      <c r="C89" s="42"/>
      <c r="D89" s="42"/>
      <c r="E89" s="42"/>
      <c r="F89" s="42"/>
      <c r="G89" s="1">
        <f>SUM(H89:K89)</f>
        <v>280</v>
      </c>
      <c r="H89" s="42">
        <v>47</v>
      </c>
      <c r="I89" s="42">
        <v>92</v>
      </c>
      <c r="J89" s="42">
        <v>138</v>
      </c>
      <c r="K89" s="42">
        <v>3</v>
      </c>
    </row>
  </sheetData>
  <mergeCells count="6">
    <mergeCell ref="A88:B88"/>
    <mergeCell ref="A1:K1"/>
    <mergeCell ref="A2:A3"/>
    <mergeCell ref="B2:B3"/>
    <mergeCell ref="C2:F2"/>
    <mergeCell ref="G2:K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3"/>
  <sheetViews>
    <sheetView tabSelected="1" topLeftCell="A263" zoomScale="85" zoomScaleNormal="85" workbookViewId="0">
      <selection activeCell="D266" sqref="D266:D271"/>
    </sheetView>
  </sheetViews>
  <sheetFormatPr defaultColWidth="9.140625" defaultRowHeight="12.75" x14ac:dyDescent="0.2"/>
  <cols>
    <col min="1" max="1" width="5.7109375" style="37" customWidth="1"/>
    <col min="2" max="2" width="21.85546875" style="38" customWidth="1"/>
    <col min="3" max="3" width="19.7109375" style="7" customWidth="1"/>
    <col min="4" max="4" width="23.42578125" style="36" customWidth="1"/>
    <col min="5" max="5" width="9.28515625" style="7" customWidth="1"/>
    <col min="6" max="6" width="29.140625" style="39" customWidth="1"/>
    <col min="7" max="7" width="15.28515625" style="7" customWidth="1"/>
    <col min="8" max="8" width="16.140625" style="37" customWidth="1"/>
    <col min="9" max="16384" width="9.140625" style="7"/>
  </cols>
  <sheetData>
    <row r="1" spans="1:8" ht="30.75" customHeight="1" x14ac:dyDescent="0.2">
      <c r="A1" s="56" t="s">
        <v>1483</v>
      </c>
      <c r="B1" s="56"/>
      <c r="C1" s="56"/>
      <c r="D1" s="56"/>
      <c r="E1" s="56"/>
      <c r="F1" s="56"/>
      <c r="G1" s="56"/>
      <c r="H1" s="56"/>
    </row>
    <row r="2" spans="1:8" ht="27" customHeight="1" x14ac:dyDescent="0.2">
      <c r="A2" s="57"/>
      <c r="B2" s="57"/>
      <c r="C2" s="57"/>
      <c r="D2" s="57"/>
      <c r="E2" s="57"/>
      <c r="F2" s="57"/>
      <c r="G2" s="57"/>
      <c r="H2" s="57"/>
    </row>
    <row r="3" spans="1:8" s="12" customFormat="1" ht="25.5" x14ac:dyDescent="0.25">
      <c r="A3" s="8" t="s">
        <v>1</v>
      </c>
      <c r="B3" s="9" t="s">
        <v>98</v>
      </c>
      <c r="C3" s="10" t="s">
        <v>99</v>
      </c>
      <c r="D3" s="10" t="s">
        <v>100</v>
      </c>
      <c r="E3" s="11" t="s">
        <v>101</v>
      </c>
      <c r="F3" s="11" t="s">
        <v>102</v>
      </c>
      <c r="G3" s="10" t="s">
        <v>103</v>
      </c>
      <c r="H3" s="10" t="s">
        <v>104</v>
      </c>
    </row>
    <row r="4" spans="1:8" ht="22.5" customHeight="1" x14ac:dyDescent="0.2">
      <c r="A4" s="13" t="s">
        <v>105</v>
      </c>
      <c r="B4" s="9" t="s">
        <v>106</v>
      </c>
      <c r="C4" s="10">
        <f>COUNTA(C5:C34)</f>
        <v>7</v>
      </c>
      <c r="D4" s="14"/>
      <c r="E4" s="10">
        <f>COUNTA(E5:E34)</f>
        <v>30</v>
      </c>
      <c r="F4" s="10"/>
      <c r="G4" s="15"/>
      <c r="H4" s="14"/>
    </row>
    <row r="5" spans="1:8" ht="25.5" x14ac:dyDescent="0.2">
      <c r="A5" s="14">
        <v>1</v>
      </c>
      <c r="B5" s="16" t="s">
        <v>107</v>
      </c>
      <c r="C5" s="50" t="s">
        <v>108</v>
      </c>
      <c r="D5" s="50" t="s">
        <v>109</v>
      </c>
      <c r="E5" s="8" t="s">
        <v>7</v>
      </c>
      <c r="F5" s="18" t="s">
        <v>110</v>
      </c>
      <c r="G5" s="14" t="s">
        <v>111</v>
      </c>
      <c r="H5" s="14" t="s">
        <v>112</v>
      </c>
    </row>
    <row r="6" spans="1:8" ht="25.5" x14ac:dyDescent="0.2">
      <c r="A6" s="14">
        <v>2</v>
      </c>
      <c r="B6" s="9" t="s">
        <v>113</v>
      </c>
      <c r="C6" s="50"/>
      <c r="D6" s="50"/>
      <c r="E6" s="8" t="s">
        <v>7</v>
      </c>
      <c r="F6" s="10" t="s">
        <v>114</v>
      </c>
      <c r="G6" s="14" t="s">
        <v>111</v>
      </c>
      <c r="H6" s="14" t="s">
        <v>112</v>
      </c>
    </row>
    <row r="7" spans="1:8" ht="48" customHeight="1" x14ac:dyDescent="0.2">
      <c r="A7" s="14">
        <v>3</v>
      </c>
      <c r="B7" s="9" t="s">
        <v>115</v>
      </c>
      <c r="C7" s="50"/>
      <c r="D7" s="50"/>
      <c r="E7" s="10" t="s">
        <v>6</v>
      </c>
      <c r="F7" s="10" t="s">
        <v>116</v>
      </c>
      <c r="G7" s="14" t="s">
        <v>111</v>
      </c>
      <c r="H7" s="14" t="s">
        <v>112</v>
      </c>
    </row>
    <row r="8" spans="1:8" ht="25.5" x14ac:dyDescent="0.2">
      <c r="A8" s="14">
        <v>4</v>
      </c>
      <c r="B8" s="9" t="s">
        <v>117</v>
      </c>
      <c r="C8" s="50"/>
      <c r="D8" s="50"/>
      <c r="E8" s="8" t="s">
        <v>7</v>
      </c>
      <c r="F8" s="10" t="s">
        <v>118</v>
      </c>
      <c r="G8" s="14" t="s">
        <v>111</v>
      </c>
      <c r="H8" s="14" t="s">
        <v>112</v>
      </c>
    </row>
    <row r="9" spans="1:8" ht="49.5" customHeight="1" x14ac:dyDescent="0.2">
      <c r="A9" s="14">
        <v>5</v>
      </c>
      <c r="B9" s="16" t="s">
        <v>119</v>
      </c>
      <c r="C9" s="50" t="s">
        <v>120</v>
      </c>
      <c r="D9" s="50" t="s">
        <v>121</v>
      </c>
      <c r="E9" s="14" t="s">
        <v>8</v>
      </c>
      <c r="F9" s="17" t="s">
        <v>122</v>
      </c>
      <c r="G9" s="14" t="s">
        <v>111</v>
      </c>
      <c r="H9" s="14" t="s">
        <v>112</v>
      </c>
    </row>
    <row r="10" spans="1:8" ht="25.5" x14ac:dyDescent="0.2">
      <c r="A10" s="14">
        <v>6</v>
      </c>
      <c r="B10" s="16" t="s">
        <v>123</v>
      </c>
      <c r="C10" s="50"/>
      <c r="D10" s="50"/>
      <c r="E10" s="14" t="s">
        <v>8</v>
      </c>
      <c r="F10" s="17" t="s">
        <v>124</v>
      </c>
      <c r="G10" s="14" t="s">
        <v>111</v>
      </c>
      <c r="H10" s="14" t="s">
        <v>112</v>
      </c>
    </row>
    <row r="11" spans="1:8" ht="25.5" x14ac:dyDescent="0.2">
      <c r="A11" s="14">
        <v>7</v>
      </c>
      <c r="B11" s="16" t="s">
        <v>125</v>
      </c>
      <c r="C11" s="50" t="s">
        <v>126</v>
      </c>
      <c r="D11" s="50" t="s">
        <v>127</v>
      </c>
      <c r="E11" s="14" t="s">
        <v>8</v>
      </c>
      <c r="F11" s="17" t="s">
        <v>122</v>
      </c>
      <c r="G11" s="14" t="s">
        <v>111</v>
      </c>
      <c r="H11" s="14" t="s">
        <v>112</v>
      </c>
    </row>
    <row r="12" spans="1:8" ht="25.5" x14ac:dyDescent="0.2">
      <c r="A12" s="14">
        <v>8</v>
      </c>
      <c r="B12" s="16" t="s">
        <v>128</v>
      </c>
      <c r="C12" s="50"/>
      <c r="D12" s="50"/>
      <c r="E12" s="14" t="s">
        <v>8</v>
      </c>
      <c r="F12" s="17" t="s">
        <v>124</v>
      </c>
      <c r="G12" s="14" t="s">
        <v>111</v>
      </c>
      <c r="H12" s="14" t="s">
        <v>112</v>
      </c>
    </row>
    <row r="13" spans="1:8" ht="25.5" x14ac:dyDescent="0.2">
      <c r="A13" s="14">
        <v>9</v>
      </c>
      <c r="B13" s="9" t="s">
        <v>129</v>
      </c>
      <c r="C13" s="50" t="s">
        <v>130</v>
      </c>
      <c r="D13" s="50" t="s">
        <v>131</v>
      </c>
      <c r="E13" s="8" t="s">
        <v>7</v>
      </c>
      <c r="F13" s="10" t="s">
        <v>118</v>
      </c>
      <c r="G13" s="14" t="s">
        <v>111</v>
      </c>
      <c r="H13" s="14" t="s">
        <v>112</v>
      </c>
    </row>
    <row r="14" spans="1:8" ht="25.5" x14ac:dyDescent="0.2">
      <c r="A14" s="14">
        <v>10</v>
      </c>
      <c r="B14" s="9" t="s">
        <v>132</v>
      </c>
      <c r="C14" s="50"/>
      <c r="D14" s="50"/>
      <c r="E14" s="8" t="s">
        <v>7</v>
      </c>
      <c r="F14" s="10" t="s">
        <v>118</v>
      </c>
      <c r="G14" s="14" t="s">
        <v>111</v>
      </c>
      <c r="H14" s="14" t="s">
        <v>112</v>
      </c>
    </row>
    <row r="15" spans="1:8" ht="33.75" customHeight="1" x14ac:dyDescent="0.2">
      <c r="A15" s="14">
        <v>11</v>
      </c>
      <c r="B15" s="16" t="s">
        <v>133</v>
      </c>
      <c r="C15" s="50"/>
      <c r="D15" s="50"/>
      <c r="E15" s="14" t="s">
        <v>8</v>
      </c>
      <c r="F15" s="17" t="s">
        <v>134</v>
      </c>
      <c r="G15" s="14" t="s">
        <v>111</v>
      </c>
      <c r="H15" s="14" t="s">
        <v>112</v>
      </c>
    </row>
    <row r="16" spans="1:8" ht="33" customHeight="1" x14ac:dyDescent="0.2">
      <c r="A16" s="14">
        <v>12</v>
      </c>
      <c r="B16" s="16" t="s">
        <v>135</v>
      </c>
      <c r="C16" s="50"/>
      <c r="D16" s="50"/>
      <c r="E16" s="14" t="s">
        <v>8</v>
      </c>
      <c r="F16" s="17" t="s">
        <v>134</v>
      </c>
      <c r="G16" s="14" t="s">
        <v>111</v>
      </c>
      <c r="H16" s="14" t="s">
        <v>112</v>
      </c>
    </row>
    <row r="17" spans="1:8" ht="38.25" customHeight="1" x14ac:dyDescent="0.2">
      <c r="A17" s="14">
        <v>13</v>
      </c>
      <c r="B17" s="9" t="s">
        <v>136</v>
      </c>
      <c r="C17" s="50"/>
      <c r="D17" s="50"/>
      <c r="E17" s="10" t="s">
        <v>7</v>
      </c>
      <c r="F17" s="10" t="s">
        <v>137</v>
      </c>
      <c r="G17" s="14" t="s">
        <v>111</v>
      </c>
      <c r="H17" s="14" t="s">
        <v>112</v>
      </c>
    </row>
    <row r="18" spans="1:8" ht="41.25" customHeight="1" x14ac:dyDescent="0.2">
      <c r="A18" s="14">
        <v>14</v>
      </c>
      <c r="B18" s="16" t="s">
        <v>138</v>
      </c>
      <c r="C18" s="50"/>
      <c r="D18" s="50"/>
      <c r="E18" s="14" t="s">
        <v>8</v>
      </c>
      <c r="F18" s="17" t="s">
        <v>124</v>
      </c>
      <c r="G18" s="14" t="s">
        <v>111</v>
      </c>
      <c r="H18" s="14" t="s">
        <v>112</v>
      </c>
    </row>
    <row r="19" spans="1:8" ht="51.95" customHeight="1" x14ac:dyDescent="0.2">
      <c r="A19" s="14">
        <v>15</v>
      </c>
      <c r="B19" s="16" t="s">
        <v>139</v>
      </c>
      <c r="C19" s="50"/>
      <c r="D19" s="50"/>
      <c r="E19" s="14" t="s">
        <v>8</v>
      </c>
      <c r="F19" s="17" t="s">
        <v>124</v>
      </c>
      <c r="G19" s="14" t="s">
        <v>111</v>
      </c>
      <c r="H19" s="14" t="s">
        <v>112</v>
      </c>
    </row>
    <row r="20" spans="1:8" ht="25.5" x14ac:dyDescent="0.2">
      <c r="A20" s="14">
        <v>16</v>
      </c>
      <c r="B20" s="16" t="s">
        <v>140</v>
      </c>
      <c r="C20" s="50"/>
      <c r="D20" s="50"/>
      <c r="E20" s="14" t="s">
        <v>8</v>
      </c>
      <c r="F20" s="17" t="s">
        <v>124</v>
      </c>
      <c r="G20" s="14" t="s">
        <v>111</v>
      </c>
      <c r="H20" s="14" t="s">
        <v>112</v>
      </c>
    </row>
    <row r="21" spans="1:8" ht="25.5" x14ac:dyDescent="0.2">
      <c r="A21" s="14">
        <v>17</v>
      </c>
      <c r="B21" s="16" t="s">
        <v>141</v>
      </c>
      <c r="C21" s="50"/>
      <c r="D21" s="50"/>
      <c r="E21" s="14" t="s">
        <v>8</v>
      </c>
      <c r="F21" s="17" t="s">
        <v>124</v>
      </c>
      <c r="G21" s="14" t="s">
        <v>111</v>
      </c>
      <c r="H21" s="14" t="s">
        <v>112</v>
      </c>
    </row>
    <row r="22" spans="1:8" ht="25.5" x14ac:dyDescent="0.2">
      <c r="A22" s="14">
        <v>18</v>
      </c>
      <c r="B22" s="16" t="s">
        <v>142</v>
      </c>
      <c r="C22" s="50" t="s">
        <v>143</v>
      </c>
      <c r="D22" s="50" t="s">
        <v>144</v>
      </c>
      <c r="E22" s="14" t="s">
        <v>8</v>
      </c>
      <c r="F22" s="17" t="s">
        <v>134</v>
      </c>
      <c r="G22" s="14" t="s">
        <v>111</v>
      </c>
      <c r="H22" s="14" t="s">
        <v>112</v>
      </c>
    </row>
    <row r="23" spans="1:8" ht="29.25" customHeight="1" x14ac:dyDescent="0.2">
      <c r="A23" s="14">
        <v>19</v>
      </c>
      <c r="B23" s="16" t="s">
        <v>145</v>
      </c>
      <c r="C23" s="50"/>
      <c r="D23" s="50"/>
      <c r="E23" s="14" t="s">
        <v>8</v>
      </c>
      <c r="F23" s="17" t="s">
        <v>134</v>
      </c>
      <c r="G23" s="14" t="s">
        <v>111</v>
      </c>
      <c r="H23" s="14" t="s">
        <v>112</v>
      </c>
    </row>
    <row r="24" spans="1:8" ht="34.5" customHeight="1" x14ac:dyDescent="0.2">
      <c r="A24" s="14">
        <v>20</v>
      </c>
      <c r="B24" s="16" t="s">
        <v>146</v>
      </c>
      <c r="C24" s="50"/>
      <c r="D24" s="50"/>
      <c r="E24" s="14" t="s">
        <v>8</v>
      </c>
      <c r="F24" s="17" t="s">
        <v>134</v>
      </c>
      <c r="G24" s="14" t="s">
        <v>147</v>
      </c>
      <c r="H24" s="14" t="s">
        <v>112</v>
      </c>
    </row>
    <row r="25" spans="1:8" ht="33.75" customHeight="1" x14ac:dyDescent="0.2">
      <c r="A25" s="14">
        <v>21</v>
      </c>
      <c r="B25" s="16" t="s">
        <v>148</v>
      </c>
      <c r="C25" s="50"/>
      <c r="D25" s="50"/>
      <c r="E25" s="14" t="s">
        <v>8</v>
      </c>
      <c r="F25" s="17" t="s">
        <v>134</v>
      </c>
      <c r="G25" s="14" t="s">
        <v>111</v>
      </c>
      <c r="H25" s="14" t="s">
        <v>112</v>
      </c>
    </row>
    <row r="26" spans="1:8" ht="40.5" customHeight="1" x14ac:dyDescent="0.2">
      <c r="A26" s="14">
        <v>22</v>
      </c>
      <c r="B26" s="16" t="s">
        <v>149</v>
      </c>
      <c r="C26" s="50"/>
      <c r="D26" s="50"/>
      <c r="E26" s="14" t="s">
        <v>8</v>
      </c>
      <c r="F26" s="17" t="s">
        <v>134</v>
      </c>
      <c r="G26" s="14" t="s">
        <v>111</v>
      </c>
      <c r="H26" s="14" t="s">
        <v>112</v>
      </c>
    </row>
    <row r="27" spans="1:8" ht="25.5" x14ac:dyDescent="0.2">
      <c r="A27" s="14">
        <v>23</v>
      </c>
      <c r="B27" s="16" t="s">
        <v>150</v>
      </c>
      <c r="C27" s="50"/>
      <c r="D27" s="50"/>
      <c r="E27" s="14" t="s">
        <v>8</v>
      </c>
      <c r="F27" s="17" t="s">
        <v>124</v>
      </c>
      <c r="G27" s="14" t="s">
        <v>111</v>
      </c>
      <c r="H27" s="14" t="s">
        <v>112</v>
      </c>
    </row>
    <row r="28" spans="1:8" ht="36" customHeight="1" x14ac:dyDescent="0.2">
      <c r="A28" s="14">
        <v>24</v>
      </c>
      <c r="B28" s="16" t="s">
        <v>123</v>
      </c>
      <c r="C28" s="50"/>
      <c r="D28" s="50"/>
      <c r="E28" s="14" t="s">
        <v>8</v>
      </c>
      <c r="F28" s="17" t="s">
        <v>124</v>
      </c>
      <c r="G28" s="14" t="s">
        <v>111</v>
      </c>
      <c r="H28" s="14" t="s">
        <v>112</v>
      </c>
    </row>
    <row r="29" spans="1:8" ht="39" customHeight="1" x14ac:dyDescent="0.2">
      <c r="A29" s="14">
        <v>25</v>
      </c>
      <c r="B29" s="16" t="s">
        <v>151</v>
      </c>
      <c r="C29" s="50" t="s">
        <v>152</v>
      </c>
      <c r="D29" s="50" t="s">
        <v>153</v>
      </c>
      <c r="E29" s="14" t="s">
        <v>8</v>
      </c>
      <c r="F29" s="17" t="s">
        <v>124</v>
      </c>
      <c r="G29" s="14" t="s">
        <v>111</v>
      </c>
      <c r="H29" s="14" t="s">
        <v>112</v>
      </c>
    </row>
    <row r="30" spans="1:8" ht="25.5" x14ac:dyDescent="0.2">
      <c r="A30" s="14">
        <v>26</v>
      </c>
      <c r="B30" s="16" t="s">
        <v>154</v>
      </c>
      <c r="C30" s="50"/>
      <c r="D30" s="50"/>
      <c r="E30" s="14" t="s">
        <v>8</v>
      </c>
      <c r="F30" s="17" t="s">
        <v>124</v>
      </c>
      <c r="G30" s="14" t="s">
        <v>111</v>
      </c>
      <c r="H30" s="14" t="s">
        <v>112</v>
      </c>
    </row>
    <row r="31" spans="1:8" ht="25.5" x14ac:dyDescent="0.2">
      <c r="A31" s="14">
        <v>27</v>
      </c>
      <c r="B31" s="16" t="s">
        <v>155</v>
      </c>
      <c r="C31" s="50"/>
      <c r="D31" s="50"/>
      <c r="E31" s="14" t="s">
        <v>8</v>
      </c>
      <c r="F31" s="17" t="s">
        <v>124</v>
      </c>
      <c r="G31" s="14" t="s">
        <v>111</v>
      </c>
      <c r="H31" s="14" t="s">
        <v>112</v>
      </c>
    </row>
    <row r="32" spans="1:8" ht="25.5" x14ac:dyDescent="0.2">
      <c r="A32" s="14">
        <v>28</v>
      </c>
      <c r="B32" s="16" t="s">
        <v>156</v>
      </c>
      <c r="C32" s="50"/>
      <c r="D32" s="50"/>
      <c r="E32" s="14" t="s">
        <v>8</v>
      </c>
      <c r="F32" s="17" t="s">
        <v>124</v>
      </c>
      <c r="G32" s="14" t="s">
        <v>111</v>
      </c>
      <c r="H32" s="14" t="s">
        <v>112</v>
      </c>
    </row>
    <row r="33" spans="1:8" ht="25.5" x14ac:dyDescent="0.2">
      <c r="A33" s="14">
        <v>29</v>
      </c>
      <c r="B33" s="16" t="s">
        <v>157</v>
      </c>
      <c r="C33" s="50"/>
      <c r="D33" s="50"/>
      <c r="E33" s="14" t="s">
        <v>8</v>
      </c>
      <c r="F33" s="17" t="s">
        <v>124</v>
      </c>
      <c r="G33" s="14" t="s">
        <v>111</v>
      </c>
      <c r="H33" s="14" t="s">
        <v>112</v>
      </c>
    </row>
    <row r="34" spans="1:8" ht="25.5" x14ac:dyDescent="0.2">
      <c r="A34" s="14">
        <v>30</v>
      </c>
      <c r="B34" s="16" t="s">
        <v>158</v>
      </c>
      <c r="C34" s="17" t="s">
        <v>159</v>
      </c>
      <c r="D34" s="17" t="s">
        <v>160</v>
      </c>
      <c r="E34" s="14" t="s">
        <v>8</v>
      </c>
      <c r="F34" s="17" t="s">
        <v>124</v>
      </c>
      <c r="G34" s="14" t="s">
        <v>111</v>
      </c>
      <c r="H34" s="14" t="s">
        <v>112</v>
      </c>
    </row>
    <row r="35" spans="1:8" ht="34.5" customHeight="1" x14ac:dyDescent="0.2">
      <c r="A35" s="13" t="s">
        <v>161</v>
      </c>
      <c r="B35" s="9" t="s">
        <v>162</v>
      </c>
      <c r="C35" s="8">
        <f>COUNTA(C36:C45)</f>
        <v>6</v>
      </c>
      <c r="D35" s="8"/>
      <c r="E35" s="8">
        <f>COUNTA(E36:E45)</f>
        <v>10</v>
      </c>
      <c r="F35" s="17"/>
      <c r="G35" s="14" t="s">
        <v>111</v>
      </c>
      <c r="H35" s="14" t="s">
        <v>112</v>
      </c>
    </row>
    <row r="36" spans="1:8" ht="25.5" x14ac:dyDescent="0.2">
      <c r="A36" s="14">
        <v>31</v>
      </c>
      <c r="B36" s="16" t="s">
        <v>163</v>
      </c>
      <c r="C36" s="17" t="s">
        <v>164</v>
      </c>
      <c r="D36" s="17" t="s">
        <v>165</v>
      </c>
      <c r="E36" s="14" t="s">
        <v>8</v>
      </c>
      <c r="F36" s="17" t="s">
        <v>166</v>
      </c>
      <c r="G36" s="14" t="s">
        <v>111</v>
      </c>
      <c r="H36" s="14" t="s">
        <v>112</v>
      </c>
    </row>
    <row r="37" spans="1:8" ht="31.5" customHeight="1" x14ac:dyDescent="0.2">
      <c r="A37" s="14">
        <v>32</v>
      </c>
      <c r="B37" s="16" t="s">
        <v>167</v>
      </c>
      <c r="C37" s="50" t="s">
        <v>168</v>
      </c>
      <c r="D37" s="50" t="s">
        <v>169</v>
      </c>
      <c r="E37" s="14" t="s">
        <v>8</v>
      </c>
      <c r="F37" s="17" t="s">
        <v>170</v>
      </c>
      <c r="G37" s="14" t="s">
        <v>111</v>
      </c>
      <c r="H37" s="14" t="s">
        <v>112</v>
      </c>
    </row>
    <row r="38" spans="1:8" ht="36" customHeight="1" x14ac:dyDescent="0.2">
      <c r="A38" s="14">
        <v>33</v>
      </c>
      <c r="B38" s="16" t="s">
        <v>171</v>
      </c>
      <c r="C38" s="50"/>
      <c r="D38" s="50"/>
      <c r="E38" s="14" t="s">
        <v>8</v>
      </c>
      <c r="F38" s="17" t="s">
        <v>170</v>
      </c>
      <c r="G38" s="14" t="s">
        <v>111</v>
      </c>
      <c r="H38" s="14" t="s">
        <v>112</v>
      </c>
    </row>
    <row r="39" spans="1:8" ht="25.5" x14ac:dyDescent="0.2">
      <c r="A39" s="14">
        <v>34</v>
      </c>
      <c r="B39" s="16" t="s">
        <v>172</v>
      </c>
      <c r="C39" s="17" t="s">
        <v>173</v>
      </c>
      <c r="D39" s="17" t="s">
        <v>174</v>
      </c>
      <c r="E39" s="14" t="s">
        <v>8</v>
      </c>
      <c r="F39" s="17" t="s">
        <v>175</v>
      </c>
      <c r="G39" s="14" t="s">
        <v>111</v>
      </c>
      <c r="H39" s="14" t="s">
        <v>112</v>
      </c>
    </row>
    <row r="40" spans="1:8" ht="39" customHeight="1" x14ac:dyDescent="0.2">
      <c r="A40" s="14">
        <v>35</v>
      </c>
      <c r="B40" s="16" t="s">
        <v>176</v>
      </c>
      <c r="C40" s="50" t="s">
        <v>177</v>
      </c>
      <c r="D40" s="50" t="s">
        <v>178</v>
      </c>
      <c r="E40" s="14" t="s">
        <v>8</v>
      </c>
      <c r="F40" s="17" t="s">
        <v>175</v>
      </c>
      <c r="G40" s="14" t="s">
        <v>111</v>
      </c>
      <c r="H40" s="14" t="s">
        <v>112</v>
      </c>
    </row>
    <row r="41" spans="1:8" ht="43.5" customHeight="1" x14ac:dyDescent="0.2">
      <c r="A41" s="14">
        <v>36</v>
      </c>
      <c r="B41" s="16" t="s">
        <v>179</v>
      </c>
      <c r="C41" s="50"/>
      <c r="D41" s="50"/>
      <c r="E41" s="14" t="s">
        <v>8</v>
      </c>
      <c r="F41" s="17" t="s">
        <v>175</v>
      </c>
      <c r="G41" s="14" t="s">
        <v>111</v>
      </c>
      <c r="H41" s="14" t="s">
        <v>112</v>
      </c>
    </row>
    <row r="42" spans="1:8" ht="42.75" customHeight="1" x14ac:dyDescent="0.2">
      <c r="A42" s="14">
        <v>37</v>
      </c>
      <c r="B42" s="16" t="s">
        <v>180</v>
      </c>
      <c r="C42" s="50"/>
      <c r="D42" s="50"/>
      <c r="E42" s="14" t="s">
        <v>8</v>
      </c>
      <c r="F42" s="17" t="s">
        <v>175</v>
      </c>
      <c r="G42" s="14" t="s">
        <v>111</v>
      </c>
      <c r="H42" s="14" t="s">
        <v>112</v>
      </c>
    </row>
    <row r="43" spans="1:8" ht="45.75" customHeight="1" x14ac:dyDescent="0.2">
      <c r="A43" s="14">
        <v>38</v>
      </c>
      <c r="B43" s="16" t="s">
        <v>181</v>
      </c>
      <c r="C43" s="17" t="s">
        <v>182</v>
      </c>
      <c r="D43" s="17" t="s">
        <v>183</v>
      </c>
      <c r="E43" s="14" t="s">
        <v>8</v>
      </c>
      <c r="F43" s="17" t="s">
        <v>170</v>
      </c>
      <c r="G43" s="14" t="s">
        <v>111</v>
      </c>
      <c r="H43" s="14" t="s">
        <v>112</v>
      </c>
    </row>
    <row r="44" spans="1:8" ht="47.25" customHeight="1" x14ac:dyDescent="0.2">
      <c r="A44" s="14">
        <v>39</v>
      </c>
      <c r="B44" s="16" t="s">
        <v>184</v>
      </c>
      <c r="C44" s="50" t="s">
        <v>185</v>
      </c>
      <c r="D44" s="50" t="s">
        <v>186</v>
      </c>
      <c r="E44" s="14" t="s">
        <v>8</v>
      </c>
      <c r="F44" s="17" t="s">
        <v>187</v>
      </c>
      <c r="G44" s="14" t="s">
        <v>111</v>
      </c>
      <c r="H44" s="14" t="s">
        <v>112</v>
      </c>
    </row>
    <row r="45" spans="1:8" ht="42" customHeight="1" x14ac:dyDescent="0.2">
      <c r="A45" s="14">
        <v>40</v>
      </c>
      <c r="B45" s="16" t="s">
        <v>188</v>
      </c>
      <c r="C45" s="50"/>
      <c r="D45" s="50"/>
      <c r="E45" s="14" t="s">
        <v>8</v>
      </c>
      <c r="F45" s="17" t="s">
        <v>187</v>
      </c>
      <c r="G45" s="14" t="s">
        <v>111</v>
      </c>
      <c r="H45" s="14" t="s">
        <v>112</v>
      </c>
    </row>
    <row r="46" spans="1:8" ht="30.75" customHeight="1" x14ac:dyDescent="0.2">
      <c r="A46" s="13" t="s">
        <v>189</v>
      </c>
      <c r="B46" s="9" t="s">
        <v>190</v>
      </c>
      <c r="C46" s="8">
        <f>COUNTA(C47:C55)</f>
        <v>7</v>
      </c>
      <c r="D46" s="8"/>
      <c r="E46" s="8">
        <f>COUNTA(E47:E55)</f>
        <v>9</v>
      </c>
      <c r="F46" s="10"/>
      <c r="G46" s="14" t="s">
        <v>111</v>
      </c>
      <c r="H46" s="14" t="s">
        <v>112</v>
      </c>
    </row>
    <row r="47" spans="1:8" ht="25.5" x14ac:dyDescent="0.2">
      <c r="A47" s="14">
        <v>41</v>
      </c>
      <c r="B47" s="16" t="s">
        <v>191</v>
      </c>
      <c r="C47" s="17" t="s">
        <v>192</v>
      </c>
      <c r="D47" s="17" t="s">
        <v>193</v>
      </c>
      <c r="E47" s="14" t="s">
        <v>8</v>
      </c>
      <c r="F47" s="17" t="s">
        <v>194</v>
      </c>
      <c r="G47" s="14" t="s">
        <v>111</v>
      </c>
      <c r="H47" s="14" t="s">
        <v>112</v>
      </c>
    </row>
    <row r="48" spans="1:8" ht="48" customHeight="1" x14ac:dyDescent="0.2">
      <c r="A48" s="14">
        <v>42</v>
      </c>
      <c r="B48" s="16" t="s">
        <v>195</v>
      </c>
      <c r="C48" s="17" t="s">
        <v>196</v>
      </c>
      <c r="D48" s="17" t="s">
        <v>197</v>
      </c>
      <c r="E48" s="14" t="s">
        <v>8</v>
      </c>
      <c r="F48" s="17" t="s">
        <v>194</v>
      </c>
      <c r="G48" s="14" t="s">
        <v>111</v>
      </c>
      <c r="H48" s="14" t="s">
        <v>112</v>
      </c>
    </row>
    <row r="49" spans="1:8" ht="25.5" x14ac:dyDescent="0.2">
      <c r="A49" s="14">
        <v>43</v>
      </c>
      <c r="B49" s="16" t="s">
        <v>198</v>
      </c>
      <c r="C49" s="17" t="s">
        <v>199</v>
      </c>
      <c r="D49" s="17" t="s">
        <v>200</v>
      </c>
      <c r="E49" s="14" t="s">
        <v>8</v>
      </c>
      <c r="F49" s="17" t="s">
        <v>166</v>
      </c>
      <c r="G49" s="14" t="s">
        <v>111</v>
      </c>
      <c r="H49" s="14" t="s">
        <v>112</v>
      </c>
    </row>
    <row r="50" spans="1:8" ht="25.5" x14ac:dyDescent="0.2">
      <c r="A50" s="14">
        <v>44</v>
      </c>
      <c r="B50" s="16" t="s">
        <v>201</v>
      </c>
      <c r="C50" s="17" t="s">
        <v>202</v>
      </c>
      <c r="D50" s="17" t="s">
        <v>203</v>
      </c>
      <c r="E50" s="14" t="s">
        <v>8</v>
      </c>
      <c r="F50" s="17" t="s">
        <v>166</v>
      </c>
      <c r="G50" s="14" t="s">
        <v>111</v>
      </c>
      <c r="H50" s="14" t="s">
        <v>112</v>
      </c>
    </row>
    <row r="51" spans="1:8" ht="25.5" x14ac:dyDescent="0.2">
      <c r="A51" s="14">
        <v>45</v>
      </c>
      <c r="B51" s="16" t="s">
        <v>204</v>
      </c>
      <c r="C51" s="50" t="s">
        <v>205</v>
      </c>
      <c r="D51" s="50" t="s">
        <v>206</v>
      </c>
      <c r="E51" s="14" t="s">
        <v>8</v>
      </c>
      <c r="F51" s="17" t="s">
        <v>175</v>
      </c>
      <c r="G51" s="14" t="s">
        <v>111</v>
      </c>
      <c r="H51" s="14" t="s">
        <v>112</v>
      </c>
    </row>
    <row r="52" spans="1:8" ht="25.5" x14ac:dyDescent="0.2">
      <c r="A52" s="14">
        <v>46</v>
      </c>
      <c r="B52" s="16" t="s">
        <v>207</v>
      </c>
      <c r="C52" s="50"/>
      <c r="D52" s="50"/>
      <c r="E52" s="14" t="s">
        <v>8</v>
      </c>
      <c r="F52" s="17" t="s">
        <v>175</v>
      </c>
      <c r="G52" s="14" t="s">
        <v>111</v>
      </c>
      <c r="H52" s="14" t="s">
        <v>112</v>
      </c>
    </row>
    <row r="53" spans="1:8" ht="25.5" x14ac:dyDescent="0.2">
      <c r="A53" s="14">
        <v>47</v>
      </c>
      <c r="B53" s="16" t="s">
        <v>208</v>
      </c>
      <c r="C53" s="50" t="s">
        <v>209</v>
      </c>
      <c r="D53" s="50" t="s">
        <v>210</v>
      </c>
      <c r="E53" s="14" t="s">
        <v>8</v>
      </c>
      <c r="F53" s="17" t="s">
        <v>170</v>
      </c>
      <c r="G53" s="14" t="s">
        <v>111</v>
      </c>
      <c r="H53" s="14" t="s">
        <v>112</v>
      </c>
    </row>
    <row r="54" spans="1:8" ht="25.5" x14ac:dyDescent="0.2">
      <c r="A54" s="14">
        <v>48</v>
      </c>
      <c r="B54" s="16" t="s">
        <v>211</v>
      </c>
      <c r="C54" s="50"/>
      <c r="D54" s="50"/>
      <c r="E54" s="14" t="s">
        <v>8</v>
      </c>
      <c r="F54" s="17" t="s">
        <v>170</v>
      </c>
      <c r="G54" s="14" t="s">
        <v>111</v>
      </c>
      <c r="H54" s="14" t="s">
        <v>112</v>
      </c>
    </row>
    <row r="55" spans="1:8" ht="25.5" x14ac:dyDescent="0.2">
      <c r="A55" s="14">
        <v>49</v>
      </c>
      <c r="B55" s="9" t="s">
        <v>212</v>
      </c>
      <c r="C55" s="17" t="s">
        <v>213</v>
      </c>
      <c r="D55" s="17" t="s">
        <v>214</v>
      </c>
      <c r="E55" s="8" t="s">
        <v>7</v>
      </c>
      <c r="F55" s="10" t="s">
        <v>118</v>
      </c>
      <c r="G55" s="14" t="s">
        <v>111</v>
      </c>
      <c r="H55" s="14" t="s">
        <v>112</v>
      </c>
    </row>
    <row r="56" spans="1:8" ht="30.75" customHeight="1" x14ac:dyDescent="0.2">
      <c r="A56" s="13" t="s">
        <v>215</v>
      </c>
      <c r="B56" s="9" t="s">
        <v>216</v>
      </c>
      <c r="C56" s="8">
        <f>COUNTA(C57:C81)</f>
        <v>12</v>
      </c>
      <c r="D56" s="8"/>
      <c r="E56" s="8">
        <f>COUNTA(E57:E81)</f>
        <v>25</v>
      </c>
      <c r="F56" s="17"/>
      <c r="G56" s="14" t="s">
        <v>111</v>
      </c>
      <c r="H56" s="14" t="s">
        <v>112</v>
      </c>
    </row>
    <row r="57" spans="1:8" ht="25.5" x14ac:dyDescent="0.2">
      <c r="A57" s="14">
        <v>50</v>
      </c>
      <c r="B57" s="16" t="s">
        <v>217</v>
      </c>
      <c r="C57" s="50" t="s">
        <v>218</v>
      </c>
      <c r="D57" s="50" t="s">
        <v>219</v>
      </c>
      <c r="E57" s="14" t="s">
        <v>8</v>
      </c>
      <c r="F57" s="17" t="s">
        <v>187</v>
      </c>
      <c r="G57" s="14" t="s">
        <v>111</v>
      </c>
      <c r="H57" s="14" t="s">
        <v>112</v>
      </c>
    </row>
    <row r="58" spans="1:8" ht="25.5" x14ac:dyDescent="0.2">
      <c r="A58" s="14">
        <v>51</v>
      </c>
      <c r="B58" s="16" t="s">
        <v>220</v>
      </c>
      <c r="C58" s="50"/>
      <c r="D58" s="50"/>
      <c r="E58" s="14" t="s">
        <v>8</v>
      </c>
      <c r="F58" s="17" t="s">
        <v>187</v>
      </c>
      <c r="G58" s="14" t="s">
        <v>111</v>
      </c>
      <c r="H58" s="14" t="s">
        <v>112</v>
      </c>
    </row>
    <row r="59" spans="1:8" ht="25.5" x14ac:dyDescent="0.2">
      <c r="A59" s="14">
        <v>52</v>
      </c>
      <c r="B59" s="16" t="s">
        <v>221</v>
      </c>
      <c r="C59" s="50"/>
      <c r="D59" s="50"/>
      <c r="E59" s="14" t="s">
        <v>8</v>
      </c>
      <c r="F59" s="17" t="s">
        <v>187</v>
      </c>
      <c r="G59" s="14" t="s">
        <v>111</v>
      </c>
      <c r="H59" s="14" t="s">
        <v>112</v>
      </c>
    </row>
    <row r="60" spans="1:8" ht="25.5" x14ac:dyDescent="0.2">
      <c r="A60" s="14">
        <v>53</v>
      </c>
      <c r="B60" s="16" t="s">
        <v>222</v>
      </c>
      <c r="C60" s="50"/>
      <c r="D60" s="50"/>
      <c r="E60" s="14" t="s">
        <v>8</v>
      </c>
      <c r="F60" s="17" t="s">
        <v>187</v>
      </c>
      <c r="G60" s="14" t="s">
        <v>111</v>
      </c>
      <c r="H60" s="14" t="s">
        <v>112</v>
      </c>
    </row>
    <row r="61" spans="1:8" ht="47.25" customHeight="1" x14ac:dyDescent="0.2">
      <c r="A61" s="14">
        <v>54</v>
      </c>
      <c r="B61" s="16" t="s">
        <v>223</v>
      </c>
      <c r="C61" s="50"/>
      <c r="D61" s="50"/>
      <c r="E61" s="14" t="s">
        <v>8</v>
      </c>
      <c r="F61" s="17" t="s">
        <v>224</v>
      </c>
      <c r="G61" s="14" t="s">
        <v>111</v>
      </c>
      <c r="H61" s="14" t="s">
        <v>112</v>
      </c>
    </row>
    <row r="62" spans="1:8" ht="33" customHeight="1" x14ac:dyDescent="0.2">
      <c r="A62" s="14">
        <v>55</v>
      </c>
      <c r="B62" s="16" t="s">
        <v>225</v>
      </c>
      <c r="C62" s="50"/>
      <c r="D62" s="50"/>
      <c r="E62" s="14" t="s">
        <v>8</v>
      </c>
      <c r="F62" s="17" t="s">
        <v>224</v>
      </c>
      <c r="G62" s="14" t="s">
        <v>111</v>
      </c>
      <c r="H62" s="14" t="s">
        <v>112</v>
      </c>
    </row>
    <row r="63" spans="1:8" ht="42" customHeight="1" x14ac:dyDescent="0.2">
      <c r="A63" s="14">
        <v>56</v>
      </c>
      <c r="B63" s="16" t="s">
        <v>226</v>
      </c>
      <c r="C63" s="50"/>
      <c r="D63" s="50"/>
      <c r="E63" s="14" t="s">
        <v>8</v>
      </c>
      <c r="F63" s="17" t="s">
        <v>224</v>
      </c>
      <c r="G63" s="14" t="s">
        <v>111</v>
      </c>
      <c r="H63" s="14" t="s">
        <v>112</v>
      </c>
    </row>
    <row r="64" spans="1:8" ht="47.25" customHeight="1" x14ac:dyDescent="0.2">
      <c r="A64" s="14">
        <v>57</v>
      </c>
      <c r="B64" s="16" t="s">
        <v>227</v>
      </c>
      <c r="C64" s="52" t="s">
        <v>228</v>
      </c>
      <c r="D64" s="50" t="s">
        <v>229</v>
      </c>
      <c r="E64" s="14" t="s">
        <v>8</v>
      </c>
      <c r="F64" s="17" t="s">
        <v>187</v>
      </c>
      <c r="G64" s="14" t="s">
        <v>111</v>
      </c>
      <c r="H64" s="14" t="s">
        <v>112</v>
      </c>
    </row>
    <row r="65" spans="1:8" ht="36.75" customHeight="1" x14ac:dyDescent="0.2">
      <c r="A65" s="14">
        <v>58</v>
      </c>
      <c r="B65" s="16" t="s">
        <v>230</v>
      </c>
      <c r="C65" s="50"/>
      <c r="D65" s="50"/>
      <c r="E65" s="14" t="s">
        <v>8</v>
      </c>
      <c r="F65" s="17" t="s">
        <v>187</v>
      </c>
      <c r="G65" s="14" t="s">
        <v>111</v>
      </c>
      <c r="H65" s="14" t="s">
        <v>112</v>
      </c>
    </row>
    <row r="66" spans="1:8" ht="48" customHeight="1" x14ac:dyDescent="0.2">
      <c r="A66" s="14">
        <v>59</v>
      </c>
      <c r="B66" s="9" t="s">
        <v>231</v>
      </c>
      <c r="C66" s="17" t="s">
        <v>232</v>
      </c>
      <c r="D66" s="17" t="s">
        <v>233</v>
      </c>
      <c r="E66" s="10" t="s">
        <v>6</v>
      </c>
      <c r="F66" s="10" t="s">
        <v>116</v>
      </c>
      <c r="G66" s="14" t="s">
        <v>111</v>
      </c>
      <c r="H66" s="14" t="s">
        <v>112</v>
      </c>
    </row>
    <row r="67" spans="1:8" ht="25.5" x14ac:dyDescent="0.2">
      <c r="A67" s="14">
        <v>60</v>
      </c>
      <c r="B67" s="16" t="s">
        <v>234</v>
      </c>
      <c r="C67" s="50" t="s">
        <v>235</v>
      </c>
      <c r="D67" s="50" t="s">
        <v>236</v>
      </c>
      <c r="E67" s="14" t="s">
        <v>8</v>
      </c>
      <c r="F67" s="17" t="s">
        <v>166</v>
      </c>
      <c r="G67" s="14" t="s">
        <v>111</v>
      </c>
      <c r="H67" s="14" t="s">
        <v>112</v>
      </c>
    </row>
    <row r="68" spans="1:8" ht="15.75" customHeight="1" x14ac:dyDescent="0.2">
      <c r="A68" s="14">
        <v>61</v>
      </c>
      <c r="B68" s="16" t="s">
        <v>237</v>
      </c>
      <c r="C68" s="50"/>
      <c r="D68" s="50"/>
      <c r="E68" s="14" t="s">
        <v>8</v>
      </c>
      <c r="F68" s="17" t="s">
        <v>166</v>
      </c>
      <c r="G68" s="14" t="s">
        <v>111</v>
      </c>
      <c r="H68" s="14" t="s">
        <v>112</v>
      </c>
    </row>
    <row r="69" spans="1:8" ht="34.5" customHeight="1" x14ac:dyDescent="0.2">
      <c r="A69" s="14">
        <v>62</v>
      </c>
      <c r="B69" s="16" t="s">
        <v>238</v>
      </c>
      <c r="C69" s="50" t="s">
        <v>239</v>
      </c>
      <c r="D69" s="50" t="s">
        <v>240</v>
      </c>
      <c r="E69" s="14" t="s">
        <v>8</v>
      </c>
      <c r="F69" s="17" t="s">
        <v>166</v>
      </c>
      <c r="G69" s="14" t="s">
        <v>111</v>
      </c>
      <c r="H69" s="14" t="s">
        <v>112</v>
      </c>
    </row>
    <row r="70" spans="1:8" ht="25.5" x14ac:dyDescent="0.2">
      <c r="A70" s="14">
        <v>63</v>
      </c>
      <c r="B70" s="16" t="s">
        <v>241</v>
      </c>
      <c r="C70" s="50"/>
      <c r="D70" s="50"/>
      <c r="E70" s="14" t="s">
        <v>8</v>
      </c>
      <c r="F70" s="17" t="s">
        <v>166</v>
      </c>
      <c r="G70" s="14" t="s">
        <v>111</v>
      </c>
      <c r="H70" s="14" t="s">
        <v>112</v>
      </c>
    </row>
    <row r="71" spans="1:8" ht="25.5" x14ac:dyDescent="0.2">
      <c r="A71" s="14">
        <v>64</v>
      </c>
      <c r="B71" s="16" t="s">
        <v>242</v>
      </c>
      <c r="C71" s="50"/>
      <c r="D71" s="50"/>
      <c r="E71" s="14" t="s">
        <v>8</v>
      </c>
      <c r="F71" s="17" t="s">
        <v>166</v>
      </c>
      <c r="G71" s="14" t="s">
        <v>111</v>
      </c>
      <c r="H71" s="14" t="s">
        <v>112</v>
      </c>
    </row>
    <row r="72" spans="1:8" ht="25.5" x14ac:dyDescent="0.2">
      <c r="A72" s="14">
        <v>65</v>
      </c>
      <c r="B72" s="16" t="s">
        <v>243</v>
      </c>
      <c r="C72" s="50"/>
      <c r="D72" s="50"/>
      <c r="E72" s="14" t="s">
        <v>8</v>
      </c>
      <c r="F72" s="17" t="s">
        <v>166</v>
      </c>
      <c r="G72" s="14" t="s">
        <v>111</v>
      </c>
      <c r="H72" s="14" t="s">
        <v>112</v>
      </c>
    </row>
    <row r="73" spans="1:8" ht="25.5" x14ac:dyDescent="0.2">
      <c r="A73" s="14">
        <v>66</v>
      </c>
      <c r="B73" s="16" t="s">
        <v>244</v>
      </c>
      <c r="C73" s="50"/>
      <c r="D73" s="50"/>
      <c r="E73" s="14" t="s">
        <v>8</v>
      </c>
      <c r="F73" s="17" t="s">
        <v>166</v>
      </c>
      <c r="G73" s="14" t="s">
        <v>111</v>
      </c>
      <c r="H73" s="14" t="s">
        <v>112</v>
      </c>
    </row>
    <row r="74" spans="1:8" ht="25.5" x14ac:dyDescent="0.2">
      <c r="A74" s="14">
        <v>67</v>
      </c>
      <c r="B74" s="16" t="s">
        <v>245</v>
      </c>
      <c r="C74" s="17" t="s">
        <v>246</v>
      </c>
      <c r="D74" s="17" t="s">
        <v>247</v>
      </c>
      <c r="E74" s="14" t="s">
        <v>8</v>
      </c>
      <c r="F74" s="17" t="s">
        <v>166</v>
      </c>
      <c r="G74" s="14" t="s">
        <v>111</v>
      </c>
      <c r="H74" s="14" t="s">
        <v>112</v>
      </c>
    </row>
    <row r="75" spans="1:8" ht="51" x14ac:dyDescent="0.2">
      <c r="A75" s="14">
        <v>68</v>
      </c>
      <c r="B75" s="16" t="s">
        <v>248</v>
      </c>
      <c r="C75" s="17" t="s">
        <v>249</v>
      </c>
      <c r="D75" s="17" t="s">
        <v>250</v>
      </c>
      <c r="E75" s="14" t="s">
        <v>8</v>
      </c>
      <c r="F75" s="17" t="s">
        <v>251</v>
      </c>
      <c r="G75" s="14" t="s">
        <v>111</v>
      </c>
      <c r="H75" s="14" t="s">
        <v>112</v>
      </c>
    </row>
    <row r="76" spans="1:8" ht="25.5" x14ac:dyDescent="0.2">
      <c r="A76" s="14">
        <v>69</v>
      </c>
      <c r="B76" s="16" t="s">
        <v>252</v>
      </c>
      <c r="C76" s="50" t="s">
        <v>253</v>
      </c>
      <c r="D76" s="50" t="s">
        <v>254</v>
      </c>
      <c r="E76" s="14" t="s">
        <v>8</v>
      </c>
      <c r="F76" s="17" t="s">
        <v>170</v>
      </c>
      <c r="G76" s="14" t="s">
        <v>111</v>
      </c>
      <c r="H76" s="14" t="s">
        <v>112</v>
      </c>
    </row>
    <row r="77" spans="1:8" ht="25.5" x14ac:dyDescent="0.2">
      <c r="A77" s="14">
        <v>70</v>
      </c>
      <c r="B77" s="16" t="s">
        <v>255</v>
      </c>
      <c r="C77" s="50"/>
      <c r="D77" s="50"/>
      <c r="E77" s="14" t="s">
        <v>8</v>
      </c>
      <c r="F77" s="17" t="s">
        <v>170</v>
      </c>
      <c r="G77" s="14" t="s">
        <v>111</v>
      </c>
      <c r="H77" s="14" t="s">
        <v>112</v>
      </c>
    </row>
    <row r="78" spans="1:8" ht="38.25" x14ac:dyDescent="0.2">
      <c r="A78" s="14">
        <v>71</v>
      </c>
      <c r="B78" s="16" t="s">
        <v>256</v>
      </c>
      <c r="C78" s="17" t="s">
        <v>257</v>
      </c>
      <c r="D78" s="17" t="s">
        <v>258</v>
      </c>
      <c r="E78" s="14" t="s">
        <v>8</v>
      </c>
      <c r="F78" s="17" t="s">
        <v>170</v>
      </c>
      <c r="G78" s="14" t="s">
        <v>111</v>
      </c>
      <c r="H78" s="14" t="s">
        <v>112</v>
      </c>
    </row>
    <row r="79" spans="1:8" ht="38.25" x14ac:dyDescent="0.2">
      <c r="A79" s="14">
        <v>72</v>
      </c>
      <c r="B79" s="16" t="s">
        <v>259</v>
      </c>
      <c r="C79" s="17" t="s">
        <v>260</v>
      </c>
      <c r="D79" s="17" t="s">
        <v>261</v>
      </c>
      <c r="E79" s="14" t="s">
        <v>8</v>
      </c>
      <c r="F79" s="17" t="s">
        <v>175</v>
      </c>
      <c r="G79" s="14" t="s">
        <v>111</v>
      </c>
      <c r="H79" s="14" t="s">
        <v>112</v>
      </c>
    </row>
    <row r="80" spans="1:8" ht="25.5" x14ac:dyDescent="0.2">
      <c r="A80" s="14">
        <v>73</v>
      </c>
      <c r="B80" s="16" t="s">
        <v>262</v>
      </c>
      <c r="C80" s="17" t="s">
        <v>263</v>
      </c>
      <c r="D80" s="17" t="s">
        <v>264</v>
      </c>
      <c r="E80" s="14" t="s">
        <v>8</v>
      </c>
      <c r="F80" s="17" t="s">
        <v>194</v>
      </c>
      <c r="G80" s="14" t="s">
        <v>111</v>
      </c>
      <c r="H80" s="14" t="s">
        <v>112</v>
      </c>
    </row>
    <row r="81" spans="1:8" ht="25.5" x14ac:dyDescent="0.2">
      <c r="A81" s="14">
        <v>74</v>
      </c>
      <c r="B81" s="16" t="s">
        <v>265</v>
      </c>
      <c r="C81" s="17" t="s">
        <v>266</v>
      </c>
      <c r="D81" s="17" t="s">
        <v>267</v>
      </c>
      <c r="E81" s="14" t="s">
        <v>8</v>
      </c>
      <c r="F81" s="17" t="s">
        <v>166</v>
      </c>
      <c r="G81" s="14" t="s">
        <v>111</v>
      </c>
      <c r="H81" s="14" t="s">
        <v>112</v>
      </c>
    </row>
    <row r="82" spans="1:8" ht="30.75" customHeight="1" x14ac:dyDescent="0.2">
      <c r="A82" s="13" t="s">
        <v>268</v>
      </c>
      <c r="B82" s="9" t="s">
        <v>269</v>
      </c>
      <c r="C82" s="8">
        <f>COUNTA(C83:C85)</f>
        <v>3</v>
      </c>
      <c r="D82" s="8"/>
      <c r="E82" s="8">
        <f>COUNTA(E83:E85)</f>
        <v>3</v>
      </c>
      <c r="F82" s="17"/>
      <c r="G82" s="14" t="s">
        <v>111</v>
      </c>
      <c r="H82" s="14" t="s">
        <v>112</v>
      </c>
    </row>
    <row r="83" spans="1:8" ht="38.25" x14ac:dyDescent="0.2">
      <c r="A83" s="14">
        <v>75</v>
      </c>
      <c r="B83" s="16" t="s">
        <v>270</v>
      </c>
      <c r="C83" s="17" t="s">
        <v>271</v>
      </c>
      <c r="D83" s="19" t="s">
        <v>272</v>
      </c>
      <c r="E83" s="14" t="s">
        <v>8</v>
      </c>
      <c r="F83" s="17" t="s">
        <v>273</v>
      </c>
      <c r="G83" s="14" t="s">
        <v>111</v>
      </c>
      <c r="H83" s="14" t="s">
        <v>112</v>
      </c>
    </row>
    <row r="84" spans="1:8" ht="25.5" x14ac:dyDescent="0.2">
      <c r="A84" s="14">
        <v>76</v>
      </c>
      <c r="B84" s="16" t="s">
        <v>274</v>
      </c>
      <c r="C84" s="17" t="s">
        <v>275</v>
      </c>
      <c r="D84" s="19" t="s">
        <v>276</v>
      </c>
      <c r="E84" s="14" t="s">
        <v>8</v>
      </c>
      <c r="F84" s="17" t="s">
        <v>277</v>
      </c>
      <c r="G84" s="14" t="s">
        <v>111</v>
      </c>
      <c r="H84" s="14" t="s">
        <v>112</v>
      </c>
    </row>
    <row r="85" spans="1:8" ht="25.5" x14ac:dyDescent="0.2">
      <c r="A85" s="14">
        <v>77</v>
      </c>
      <c r="B85" s="16" t="s">
        <v>278</v>
      </c>
      <c r="C85" s="17" t="s">
        <v>279</v>
      </c>
      <c r="D85" s="19" t="s">
        <v>280</v>
      </c>
      <c r="E85" s="14" t="s">
        <v>8</v>
      </c>
      <c r="F85" s="17" t="s">
        <v>277</v>
      </c>
      <c r="G85" s="14" t="s">
        <v>111</v>
      </c>
      <c r="H85" s="14" t="s">
        <v>112</v>
      </c>
    </row>
    <row r="86" spans="1:8" ht="30.75" customHeight="1" x14ac:dyDescent="0.2">
      <c r="A86" s="13" t="s">
        <v>281</v>
      </c>
      <c r="B86" s="9" t="s">
        <v>282</v>
      </c>
      <c r="C86" s="8">
        <f>COUNTA(C87:C91)</f>
        <v>3</v>
      </c>
      <c r="D86" s="8"/>
      <c r="E86" s="8">
        <f>COUNTA(E87:E91)</f>
        <v>5</v>
      </c>
      <c r="F86" s="17"/>
      <c r="G86" s="14" t="s">
        <v>111</v>
      </c>
      <c r="H86" s="14" t="s">
        <v>112</v>
      </c>
    </row>
    <row r="87" spans="1:8" ht="25.5" x14ac:dyDescent="0.2">
      <c r="A87" s="14">
        <v>78</v>
      </c>
      <c r="B87" s="16" t="s">
        <v>283</v>
      </c>
      <c r="C87" s="17" t="s">
        <v>284</v>
      </c>
      <c r="D87" s="19" t="s">
        <v>285</v>
      </c>
      <c r="E87" s="14" t="s">
        <v>8</v>
      </c>
      <c r="F87" s="17" t="s">
        <v>277</v>
      </c>
      <c r="G87" s="14" t="s">
        <v>111</v>
      </c>
      <c r="H87" s="14" t="s">
        <v>112</v>
      </c>
    </row>
    <row r="88" spans="1:8" ht="25.5" x14ac:dyDescent="0.2">
      <c r="A88" s="14">
        <v>79</v>
      </c>
      <c r="B88" s="16" t="s">
        <v>286</v>
      </c>
      <c r="C88" s="50" t="s">
        <v>287</v>
      </c>
      <c r="D88" s="52" t="s">
        <v>288</v>
      </c>
      <c r="E88" s="14" t="s">
        <v>8</v>
      </c>
      <c r="F88" s="17" t="s">
        <v>277</v>
      </c>
      <c r="G88" s="14" t="s">
        <v>111</v>
      </c>
      <c r="H88" s="14" t="s">
        <v>112</v>
      </c>
    </row>
    <row r="89" spans="1:8" ht="25.5" x14ac:dyDescent="0.2">
      <c r="A89" s="14">
        <v>80</v>
      </c>
      <c r="B89" s="16" t="s">
        <v>289</v>
      </c>
      <c r="C89" s="50"/>
      <c r="D89" s="50"/>
      <c r="E89" s="14" t="s">
        <v>8</v>
      </c>
      <c r="F89" s="17" t="s">
        <v>277</v>
      </c>
      <c r="G89" s="14" t="s">
        <v>111</v>
      </c>
      <c r="H89" s="14" t="s">
        <v>112</v>
      </c>
    </row>
    <row r="90" spans="1:8" ht="50.25" customHeight="1" x14ac:dyDescent="0.2">
      <c r="A90" s="14">
        <v>81</v>
      </c>
      <c r="B90" s="16" t="s">
        <v>290</v>
      </c>
      <c r="C90" s="50" t="s">
        <v>291</v>
      </c>
      <c r="D90" s="50" t="s">
        <v>292</v>
      </c>
      <c r="E90" s="14" t="s">
        <v>8</v>
      </c>
      <c r="F90" s="20" t="s">
        <v>110</v>
      </c>
      <c r="G90" s="14" t="s">
        <v>111</v>
      </c>
      <c r="H90" s="14" t="s">
        <v>112</v>
      </c>
    </row>
    <row r="91" spans="1:8" ht="25.5" x14ac:dyDescent="0.2">
      <c r="A91" s="14">
        <v>82</v>
      </c>
      <c r="B91" s="16" t="s">
        <v>293</v>
      </c>
      <c r="C91" s="50"/>
      <c r="D91" s="50"/>
      <c r="E91" s="14" t="s">
        <v>8</v>
      </c>
      <c r="F91" s="17" t="s">
        <v>277</v>
      </c>
      <c r="G91" s="14" t="s">
        <v>111</v>
      </c>
      <c r="H91" s="14" t="s">
        <v>112</v>
      </c>
    </row>
    <row r="92" spans="1:8" ht="30.75" customHeight="1" x14ac:dyDescent="0.2">
      <c r="A92" s="13" t="s">
        <v>294</v>
      </c>
      <c r="B92" s="9" t="s">
        <v>295</v>
      </c>
      <c r="C92" s="8">
        <f>COUNTA(C93)</f>
        <v>1</v>
      </c>
      <c r="D92" s="8"/>
      <c r="E92" s="8">
        <f>COUNTA(E93)</f>
        <v>1</v>
      </c>
      <c r="F92" s="14"/>
      <c r="G92" s="14" t="s">
        <v>111</v>
      </c>
      <c r="H92" s="14" t="s">
        <v>112</v>
      </c>
    </row>
    <row r="93" spans="1:8" ht="60.75" customHeight="1" x14ac:dyDescent="0.2">
      <c r="A93" s="14">
        <v>83</v>
      </c>
      <c r="B93" s="9" t="s">
        <v>296</v>
      </c>
      <c r="C93" s="21" t="s">
        <v>297</v>
      </c>
      <c r="D93" s="17" t="s">
        <v>298</v>
      </c>
      <c r="E93" s="10" t="s">
        <v>7</v>
      </c>
      <c r="F93" s="10" t="s">
        <v>114</v>
      </c>
      <c r="G93" s="14" t="s">
        <v>111</v>
      </c>
      <c r="H93" s="14" t="s">
        <v>112</v>
      </c>
    </row>
    <row r="94" spans="1:8" ht="30.75" customHeight="1" x14ac:dyDescent="0.2">
      <c r="A94" s="13" t="s">
        <v>299</v>
      </c>
      <c r="B94" s="9" t="s">
        <v>300</v>
      </c>
      <c r="C94" s="8">
        <f>COUNTA(C95:C97)</f>
        <v>3</v>
      </c>
      <c r="D94" s="8"/>
      <c r="E94" s="8">
        <f>COUNTA(E95:E97)</f>
        <v>3</v>
      </c>
      <c r="F94" s="17"/>
      <c r="G94" s="14" t="s">
        <v>111</v>
      </c>
      <c r="H94" s="14" t="s">
        <v>112</v>
      </c>
    </row>
    <row r="95" spans="1:8" ht="38.25" x14ac:dyDescent="0.2">
      <c r="A95" s="14">
        <v>84</v>
      </c>
      <c r="B95" s="16" t="s">
        <v>301</v>
      </c>
      <c r="C95" s="17" t="s">
        <v>302</v>
      </c>
      <c r="D95" s="17" t="s">
        <v>303</v>
      </c>
      <c r="E95" s="14" t="s">
        <v>8</v>
      </c>
      <c r="F95" s="17" t="s">
        <v>304</v>
      </c>
      <c r="G95" s="14" t="s">
        <v>111</v>
      </c>
      <c r="H95" s="14" t="s">
        <v>112</v>
      </c>
    </row>
    <row r="96" spans="1:8" ht="38.25" x14ac:dyDescent="0.2">
      <c r="A96" s="14">
        <v>85</v>
      </c>
      <c r="B96" s="16" t="s">
        <v>305</v>
      </c>
      <c r="C96" s="17" t="s">
        <v>306</v>
      </c>
      <c r="D96" s="17" t="s">
        <v>307</v>
      </c>
      <c r="E96" s="22" t="s">
        <v>8</v>
      </c>
      <c r="F96" s="17" t="s">
        <v>308</v>
      </c>
      <c r="G96" s="14" t="s">
        <v>111</v>
      </c>
      <c r="H96" s="14" t="s">
        <v>112</v>
      </c>
    </row>
    <row r="97" spans="1:8" ht="38.25" x14ac:dyDescent="0.2">
      <c r="A97" s="14">
        <v>86</v>
      </c>
      <c r="B97" s="23" t="s">
        <v>309</v>
      </c>
      <c r="C97" s="24" t="s">
        <v>310</v>
      </c>
      <c r="D97" s="17" t="s">
        <v>311</v>
      </c>
      <c r="E97" s="24" t="s">
        <v>8</v>
      </c>
      <c r="F97" s="24" t="s">
        <v>312</v>
      </c>
      <c r="G97" s="14" t="s">
        <v>111</v>
      </c>
      <c r="H97" s="14" t="s">
        <v>112</v>
      </c>
    </row>
    <row r="98" spans="1:8" ht="30.75" customHeight="1" x14ac:dyDescent="0.2">
      <c r="A98" s="13" t="s">
        <v>313</v>
      </c>
      <c r="B98" s="9" t="s">
        <v>314</v>
      </c>
      <c r="C98" s="8">
        <f>COUNTA(C99:C110)</f>
        <v>4</v>
      </c>
      <c r="D98" s="8"/>
      <c r="E98" s="8">
        <f>COUNTA(E99:E110)</f>
        <v>12</v>
      </c>
      <c r="F98" s="10"/>
      <c r="G98" s="14" t="s">
        <v>111</v>
      </c>
      <c r="H98" s="14" t="s">
        <v>112</v>
      </c>
    </row>
    <row r="99" spans="1:8" ht="30.75" customHeight="1" x14ac:dyDescent="0.2">
      <c r="A99" s="25">
        <v>87</v>
      </c>
      <c r="B99" s="16" t="s">
        <v>315</v>
      </c>
      <c r="C99" s="55" t="s">
        <v>316</v>
      </c>
      <c r="D99" s="50" t="s">
        <v>317</v>
      </c>
      <c r="E99" s="27" t="s">
        <v>7</v>
      </c>
      <c r="F99" s="17" t="s">
        <v>318</v>
      </c>
      <c r="G99" s="14" t="s">
        <v>111</v>
      </c>
      <c r="H99" s="14" t="s">
        <v>112</v>
      </c>
    </row>
    <row r="100" spans="1:8" ht="30.75" customHeight="1" x14ac:dyDescent="0.2">
      <c r="A100" s="25">
        <v>88</v>
      </c>
      <c r="B100" s="16" t="s">
        <v>319</v>
      </c>
      <c r="C100" s="55"/>
      <c r="D100" s="50"/>
      <c r="E100" s="27" t="s">
        <v>7</v>
      </c>
      <c r="F100" s="17" t="s">
        <v>318</v>
      </c>
      <c r="G100" s="14" t="s">
        <v>111</v>
      </c>
      <c r="H100" s="14" t="s">
        <v>112</v>
      </c>
    </row>
    <row r="101" spans="1:8" ht="30.75" customHeight="1" x14ac:dyDescent="0.2">
      <c r="A101" s="25">
        <v>89</v>
      </c>
      <c r="B101" s="16" t="s">
        <v>320</v>
      </c>
      <c r="C101" s="55"/>
      <c r="D101" s="50"/>
      <c r="E101" s="27" t="s">
        <v>7</v>
      </c>
      <c r="F101" s="17" t="s">
        <v>318</v>
      </c>
      <c r="G101" s="14" t="s">
        <v>111</v>
      </c>
      <c r="H101" s="14" t="s">
        <v>112</v>
      </c>
    </row>
    <row r="102" spans="1:8" ht="30.75" customHeight="1" x14ac:dyDescent="0.2">
      <c r="A102" s="25">
        <v>90</v>
      </c>
      <c r="B102" s="16" t="s">
        <v>321</v>
      </c>
      <c r="C102" s="55"/>
      <c r="D102" s="50"/>
      <c r="E102" s="27" t="s">
        <v>7</v>
      </c>
      <c r="F102" s="17" t="s">
        <v>318</v>
      </c>
      <c r="G102" s="14" t="s">
        <v>111</v>
      </c>
      <c r="H102" s="14" t="s">
        <v>112</v>
      </c>
    </row>
    <row r="103" spans="1:8" ht="30.75" customHeight="1" x14ac:dyDescent="0.2">
      <c r="A103" s="25">
        <v>91</v>
      </c>
      <c r="B103" s="16" t="s">
        <v>322</v>
      </c>
      <c r="C103" s="55"/>
      <c r="D103" s="50"/>
      <c r="E103" s="27" t="s">
        <v>7</v>
      </c>
      <c r="F103" s="17" t="s">
        <v>318</v>
      </c>
      <c r="G103" s="14" t="s">
        <v>111</v>
      </c>
      <c r="H103" s="14" t="s">
        <v>323</v>
      </c>
    </row>
    <row r="104" spans="1:8" ht="42" customHeight="1" x14ac:dyDescent="0.2">
      <c r="A104" s="25">
        <v>92</v>
      </c>
      <c r="B104" s="23" t="s">
        <v>324</v>
      </c>
      <c r="C104" s="55" t="s">
        <v>325</v>
      </c>
      <c r="D104" s="50" t="s">
        <v>326</v>
      </c>
      <c r="E104" s="24" t="s">
        <v>8</v>
      </c>
      <c r="F104" s="24" t="s">
        <v>327</v>
      </c>
      <c r="G104" s="14" t="s">
        <v>147</v>
      </c>
      <c r="H104" s="14" t="s">
        <v>112</v>
      </c>
    </row>
    <row r="105" spans="1:8" ht="25.5" x14ac:dyDescent="0.2">
      <c r="A105" s="25">
        <v>93</v>
      </c>
      <c r="B105" s="23" t="s">
        <v>328</v>
      </c>
      <c r="C105" s="55"/>
      <c r="D105" s="50"/>
      <c r="E105" s="24" t="s">
        <v>8</v>
      </c>
      <c r="F105" s="24" t="s">
        <v>327</v>
      </c>
      <c r="G105" s="14" t="s">
        <v>111</v>
      </c>
      <c r="H105" s="14" t="s">
        <v>112</v>
      </c>
    </row>
    <row r="106" spans="1:8" ht="45" customHeight="1" x14ac:dyDescent="0.2">
      <c r="A106" s="25">
        <v>94</v>
      </c>
      <c r="B106" s="23" t="s">
        <v>329</v>
      </c>
      <c r="C106" s="55"/>
      <c r="D106" s="50"/>
      <c r="E106" s="24" t="s">
        <v>8</v>
      </c>
      <c r="F106" s="24" t="s">
        <v>327</v>
      </c>
      <c r="G106" s="14" t="s">
        <v>111</v>
      </c>
      <c r="H106" s="14" t="s">
        <v>112</v>
      </c>
    </row>
    <row r="107" spans="1:8" ht="38.25" x14ac:dyDescent="0.2">
      <c r="A107" s="25">
        <v>95</v>
      </c>
      <c r="B107" s="16" t="s">
        <v>330</v>
      </c>
      <c r="C107" s="17" t="s">
        <v>331</v>
      </c>
      <c r="D107" s="17" t="s">
        <v>332</v>
      </c>
      <c r="E107" s="24" t="s">
        <v>8</v>
      </c>
      <c r="F107" s="17" t="s">
        <v>333</v>
      </c>
      <c r="G107" s="14" t="s">
        <v>111</v>
      </c>
      <c r="H107" s="14" t="s">
        <v>112</v>
      </c>
    </row>
    <row r="108" spans="1:8" ht="48.75" customHeight="1" x14ac:dyDescent="0.2">
      <c r="A108" s="25">
        <v>96</v>
      </c>
      <c r="B108" s="16" t="s">
        <v>334</v>
      </c>
      <c r="C108" s="50" t="s">
        <v>335</v>
      </c>
      <c r="D108" s="50" t="s">
        <v>336</v>
      </c>
      <c r="E108" s="24" t="s">
        <v>8</v>
      </c>
      <c r="F108" s="17" t="s">
        <v>337</v>
      </c>
      <c r="G108" s="14" t="s">
        <v>111</v>
      </c>
      <c r="H108" s="14" t="s">
        <v>112</v>
      </c>
    </row>
    <row r="109" spans="1:8" ht="46.5" customHeight="1" x14ac:dyDescent="0.2">
      <c r="A109" s="25">
        <v>97</v>
      </c>
      <c r="B109" s="16" t="s">
        <v>338</v>
      </c>
      <c r="C109" s="50"/>
      <c r="D109" s="53"/>
      <c r="E109" s="24" t="s">
        <v>8</v>
      </c>
      <c r="F109" s="17" t="s">
        <v>337</v>
      </c>
      <c r="G109" s="14" t="s">
        <v>147</v>
      </c>
      <c r="H109" s="14" t="s">
        <v>112</v>
      </c>
    </row>
    <row r="110" spans="1:8" ht="45" customHeight="1" x14ac:dyDescent="0.2">
      <c r="A110" s="25">
        <v>98</v>
      </c>
      <c r="B110" s="16" t="s">
        <v>305</v>
      </c>
      <c r="C110" s="50"/>
      <c r="D110" s="53"/>
      <c r="E110" s="24" t="s">
        <v>8</v>
      </c>
      <c r="F110" s="17" t="s">
        <v>337</v>
      </c>
      <c r="G110" s="14" t="s">
        <v>111</v>
      </c>
      <c r="H110" s="14" t="s">
        <v>112</v>
      </c>
    </row>
    <row r="111" spans="1:8" ht="30.75" customHeight="1" x14ac:dyDescent="0.2">
      <c r="A111" s="13" t="s">
        <v>339</v>
      </c>
      <c r="B111" s="9" t="s">
        <v>340</v>
      </c>
      <c r="C111" s="8">
        <f>COUNTA(C112:C113)</f>
        <v>2</v>
      </c>
      <c r="D111" s="8"/>
      <c r="E111" s="8">
        <f>COUNTA(E112:E113)</f>
        <v>2</v>
      </c>
      <c r="F111" s="10"/>
      <c r="G111" s="14" t="s">
        <v>111</v>
      </c>
      <c r="H111" s="14" t="s">
        <v>112</v>
      </c>
    </row>
    <row r="112" spans="1:8" ht="57.75" customHeight="1" x14ac:dyDescent="0.2">
      <c r="A112" s="14">
        <v>99</v>
      </c>
      <c r="B112" s="16" t="s">
        <v>341</v>
      </c>
      <c r="C112" s="17" t="s">
        <v>342</v>
      </c>
      <c r="D112" s="17" t="s">
        <v>343</v>
      </c>
      <c r="E112" s="24" t="s">
        <v>8</v>
      </c>
      <c r="F112" s="17" t="s">
        <v>344</v>
      </c>
      <c r="G112" s="14" t="s">
        <v>111</v>
      </c>
      <c r="H112" s="14" t="s">
        <v>112</v>
      </c>
    </row>
    <row r="113" spans="1:8" ht="25.5" x14ac:dyDescent="0.2">
      <c r="A113" s="14">
        <v>100</v>
      </c>
      <c r="B113" s="16" t="s">
        <v>345</v>
      </c>
      <c r="C113" s="17" t="s">
        <v>346</v>
      </c>
      <c r="D113" s="14"/>
      <c r="E113" s="24" t="s">
        <v>8</v>
      </c>
      <c r="F113" s="17" t="s">
        <v>347</v>
      </c>
      <c r="G113" s="14" t="s">
        <v>111</v>
      </c>
      <c r="H113" s="14" t="s">
        <v>112</v>
      </c>
    </row>
    <row r="114" spans="1:8" ht="30.75" customHeight="1" x14ac:dyDescent="0.2">
      <c r="A114" s="13" t="s">
        <v>348</v>
      </c>
      <c r="B114" s="9" t="s">
        <v>349</v>
      </c>
      <c r="C114" s="8">
        <f>COUNTA(C115:C123)</f>
        <v>6</v>
      </c>
      <c r="D114" s="8"/>
      <c r="E114" s="8">
        <f>COUNTA(E115:E123)</f>
        <v>9</v>
      </c>
      <c r="F114" s="17"/>
      <c r="G114" s="14" t="s">
        <v>111</v>
      </c>
      <c r="H114" s="14" t="s">
        <v>112</v>
      </c>
    </row>
    <row r="115" spans="1:8" ht="25.5" x14ac:dyDescent="0.2">
      <c r="A115" s="14">
        <v>101</v>
      </c>
      <c r="B115" s="16" t="s">
        <v>350</v>
      </c>
      <c r="C115" s="50" t="s">
        <v>351</v>
      </c>
      <c r="D115" s="50" t="s">
        <v>352</v>
      </c>
      <c r="E115" s="24" t="s">
        <v>8</v>
      </c>
      <c r="F115" s="17" t="s">
        <v>187</v>
      </c>
      <c r="G115" s="14" t="s">
        <v>353</v>
      </c>
      <c r="H115" s="14" t="s">
        <v>112</v>
      </c>
    </row>
    <row r="116" spans="1:8" ht="25.5" x14ac:dyDescent="0.2">
      <c r="A116" s="14">
        <v>102</v>
      </c>
      <c r="B116" s="16" t="s">
        <v>354</v>
      </c>
      <c r="C116" s="50"/>
      <c r="D116" s="50"/>
      <c r="E116" s="24" t="s">
        <v>8</v>
      </c>
      <c r="F116" s="17" t="s">
        <v>170</v>
      </c>
      <c r="G116" s="14" t="s">
        <v>353</v>
      </c>
      <c r="H116" s="14" t="s">
        <v>112</v>
      </c>
    </row>
    <row r="117" spans="1:8" ht="25.5" x14ac:dyDescent="0.2">
      <c r="A117" s="14">
        <v>103</v>
      </c>
      <c r="B117" s="16" t="s">
        <v>355</v>
      </c>
      <c r="C117" s="50"/>
      <c r="D117" s="50"/>
      <c r="E117" s="24" t="s">
        <v>8</v>
      </c>
      <c r="F117" s="17" t="s">
        <v>170</v>
      </c>
      <c r="G117" s="14" t="s">
        <v>111</v>
      </c>
      <c r="H117" s="14" t="s">
        <v>112</v>
      </c>
    </row>
    <row r="118" spans="1:8" ht="25.5" x14ac:dyDescent="0.2">
      <c r="A118" s="14">
        <v>104</v>
      </c>
      <c r="B118" s="16" t="s">
        <v>356</v>
      </c>
      <c r="C118" s="50" t="s">
        <v>357</v>
      </c>
      <c r="D118" s="50" t="s">
        <v>358</v>
      </c>
      <c r="E118" s="24" t="s">
        <v>8</v>
      </c>
      <c r="F118" s="17" t="s">
        <v>251</v>
      </c>
      <c r="G118" s="14" t="s">
        <v>111</v>
      </c>
      <c r="H118" s="14" t="s">
        <v>112</v>
      </c>
    </row>
    <row r="119" spans="1:8" ht="25.5" x14ac:dyDescent="0.2">
      <c r="A119" s="14">
        <v>105</v>
      </c>
      <c r="B119" s="16" t="s">
        <v>359</v>
      </c>
      <c r="C119" s="50"/>
      <c r="D119" s="50"/>
      <c r="E119" s="24" t="s">
        <v>8</v>
      </c>
      <c r="F119" s="17" t="s">
        <v>251</v>
      </c>
      <c r="G119" s="14" t="s">
        <v>111</v>
      </c>
      <c r="H119" s="14" t="s">
        <v>112</v>
      </c>
    </row>
    <row r="120" spans="1:8" ht="38.25" x14ac:dyDescent="0.2">
      <c r="A120" s="14">
        <v>106</v>
      </c>
      <c r="B120" s="16" t="s">
        <v>360</v>
      </c>
      <c r="C120" s="17" t="s">
        <v>361</v>
      </c>
      <c r="D120" s="17" t="s">
        <v>362</v>
      </c>
      <c r="E120" s="24" t="s">
        <v>8</v>
      </c>
      <c r="F120" s="17" t="s">
        <v>363</v>
      </c>
      <c r="G120" s="14" t="s">
        <v>364</v>
      </c>
      <c r="H120" s="14" t="s">
        <v>112</v>
      </c>
    </row>
    <row r="121" spans="1:8" ht="25.5" x14ac:dyDescent="0.2">
      <c r="A121" s="14">
        <v>107</v>
      </c>
      <c r="B121" s="16" t="s">
        <v>365</v>
      </c>
      <c r="C121" s="17" t="s">
        <v>366</v>
      </c>
      <c r="D121" s="17" t="s">
        <v>367</v>
      </c>
      <c r="E121" s="24" t="s">
        <v>8</v>
      </c>
      <c r="F121" s="17" t="s">
        <v>170</v>
      </c>
      <c r="G121" s="14" t="s">
        <v>111</v>
      </c>
      <c r="H121" s="14" t="s">
        <v>112</v>
      </c>
    </row>
    <row r="122" spans="1:8" ht="25.5" x14ac:dyDescent="0.2">
      <c r="A122" s="14">
        <v>108</v>
      </c>
      <c r="B122" s="16" t="s">
        <v>368</v>
      </c>
      <c r="C122" s="17" t="s">
        <v>369</v>
      </c>
      <c r="D122" s="17" t="s">
        <v>370</v>
      </c>
      <c r="E122" s="24" t="s">
        <v>8</v>
      </c>
      <c r="F122" s="17" t="s">
        <v>251</v>
      </c>
      <c r="G122" s="14" t="s">
        <v>111</v>
      </c>
      <c r="H122" s="14" t="s">
        <v>112</v>
      </c>
    </row>
    <row r="123" spans="1:8" ht="47.25" customHeight="1" x14ac:dyDescent="0.2">
      <c r="A123" s="14">
        <v>109</v>
      </c>
      <c r="B123" s="16" t="s">
        <v>371</v>
      </c>
      <c r="C123" s="17" t="s">
        <v>372</v>
      </c>
      <c r="D123" s="17" t="s">
        <v>373</v>
      </c>
      <c r="E123" s="24" t="s">
        <v>8</v>
      </c>
      <c r="F123" s="17" t="s">
        <v>374</v>
      </c>
      <c r="G123" s="14" t="s">
        <v>111</v>
      </c>
      <c r="H123" s="14" t="s">
        <v>112</v>
      </c>
    </row>
    <row r="124" spans="1:8" ht="30.75" customHeight="1" x14ac:dyDescent="0.2">
      <c r="A124" s="13" t="s">
        <v>375</v>
      </c>
      <c r="B124" s="9" t="s">
        <v>376</v>
      </c>
      <c r="C124" s="8">
        <f>COUNTA(C125:C131)</f>
        <v>5</v>
      </c>
      <c r="D124" s="8"/>
      <c r="E124" s="8">
        <f>COUNTA(E125:E131)</f>
        <v>7</v>
      </c>
      <c r="F124" s="17"/>
      <c r="G124" s="14" t="s">
        <v>111</v>
      </c>
      <c r="H124" s="14" t="s">
        <v>112</v>
      </c>
    </row>
    <row r="125" spans="1:8" ht="25.5" x14ac:dyDescent="0.2">
      <c r="A125" s="14">
        <v>110</v>
      </c>
      <c r="B125" s="16" t="s">
        <v>377</v>
      </c>
      <c r="C125" s="17" t="s">
        <v>378</v>
      </c>
      <c r="D125" s="17" t="s">
        <v>379</v>
      </c>
      <c r="E125" s="24" t="s">
        <v>8</v>
      </c>
      <c r="F125" s="17" t="s">
        <v>175</v>
      </c>
      <c r="G125" s="14" t="s">
        <v>111</v>
      </c>
      <c r="H125" s="14" t="s">
        <v>112</v>
      </c>
    </row>
    <row r="126" spans="1:8" ht="25.5" x14ac:dyDescent="0.2">
      <c r="A126" s="14">
        <v>111</v>
      </c>
      <c r="B126" s="16" t="s">
        <v>380</v>
      </c>
      <c r="C126" s="50" t="s">
        <v>381</v>
      </c>
      <c r="D126" s="50" t="s">
        <v>382</v>
      </c>
      <c r="E126" s="24" t="s">
        <v>8</v>
      </c>
      <c r="F126" s="17" t="s">
        <v>251</v>
      </c>
      <c r="G126" s="14" t="s">
        <v>111</v>
      </c>
      <c r="H126" s="14" t="s">
        <v>112</v>
      </c>
    </row>
    <row r="127" spans="1:8" ht="25.5" x14ac:dyDescent="0.2">
      <c r="A127" s="14">
        <v>112</v>
      </c>
      <c r="B127" s="16" t="s">
        <v>383</v>
      </c>
      <c r="C127" s="50"/>
      <c r="D127" s="50"/>
      <c r="E127" s="24" t="s">
        <v>8</v>
      </c>
      <c r="F127" s="17" t="s">
        <v>251</v>
      </c>
      <c r="G127" s="14" t="s">
        <v>111</v>
      </c>
      <c r="H127" s="14" t="s">
        <v>112</v>
      </c>
    </row>
    <row r="128" spans="1:8" ht="38.25" x14ac:dyDescent="0.2">
      <c r="A128" s="14">
        <v>113</v>
      </c>
      <c r="B128" s="16" t="s">
        <v>384</v>
      </c>
      <c r="C128" s="17" t="s">
        <v>385</v>
      </c>
      <c r="D128" s="17" t="s">
        <v>386</v>
      </c>
      <c r="E128" s="24" t="s">
        <v>8</v>
      </c>
      <c r="F128" s="17" t="s">
        <v>166</v>
      </c>
      <c r="G128" s="14" t="s">
        <v>111</v>
      </c>
      <c r="H128" s="14" t="s">
        <v>112</v>
      </c>
    </row>
    <row r="129" spans="1:8" ht="25.5" x14ac:dyDescent="0.2">
      <c r="A129" s="14">
        <v>114</v>
      </c>
      <c r="B129" s="16" t="s">
        <v>387</v>
      </c>
      <c r="C129" s="17" t="s">
        <v>388</v>
      </c>
      <c r="D129" s="17" t="s">
        <v>379</v>
      </c>
      <c r="E129" s="24" t="s">
        <v>8</v>
      </c>
      <c r="F129" s="17" t="s">
        <v>166</v>
      </c>
      <c r="G129" s="14" t="s">
        <v>111</v>
      </c>
      <c r="H129" s="14" t="s">
        <v>112</v>
      </c>
    </row>
    <row r="130" spans="1:8" ht="25.5" x14ac:dyDescent="0.2">
      <c r="A130" s="14">
        <v>115</v>
      </c>
      <c r="B130" s="16" t="s">
        <v>389</v>
      </c>
      <c r="C130" s="50" t="s">
        <v>390</v>
      </c>
      <c r="D130" s="50" t="s">
        <v>391</v>
      </c>
      <c r="E130" s="24" t="s">
        <v>8</v>
      </c>
      <c r="F130" s="17" t="s">
        <v>251</v>
      </c>
      <c r="G130" s="14" t="s">
        <v>111</v>
      </c>
      <c r="H130" s="14" t="s">
        <v>112</v>
      </c>
    </row>
    <row r="131" spans="1:8" ht="25.5" x14ac:dyDescent="0.2">
      <c r="A131" s="14">
        <v>116</v>
      </c>
      <c r="B131" s="16" t="s">
        <v>392</v>
      </c>
      <c r="C131" s="50"/>
      <c r="D131" s="50"/>
      <c r="E131" s="24" t="s">
        <v>8</v>
      </c>
      <c r="F131" s="17" t="s">
        <v>251</v>
      </c>
      <c r="G131" s="14" t="s">
        <v>111</v>
      </c>
      <c r="H131" s="14" t="s">
        <v>112</v>
      </c>
    </row>
    <row r="132" spans="1:8" ht="30.75" customHeight="1" x14ac:dyDescent="0.2">
      <c r="A132" s="13" t="s">
        <v>393</v>
      </c>
      <c r="B132" s="9" t="s">
        <v>394</v>
      </c>
      <c r="C132" s="8">
        <f>COUNTA(C133:C133)</f>
        <v>1</v>
      </c>
      <c r="D132" s="8"/>
      <c r="E132" s="8">
        <f>COUNTA(E133:E133)</f>
        <v>1</v>
      </c>
      <c r="F132" s="17"/>
      <c r="G132" s="14" t="s">
        <v>111</v>
      </c>
      <c r="H132" s="14" t="s">
        <v>112</v>
      </c>
    </row>
    <row r="133" spans="1:8" ht="38.25" x14ac:dyDescent="0.2">
      <c r="A133" s="14">
        <v>117</v>
      </c>
      <c r="B133" s="16" t="s">
        <v>341</v>
      </c>
      <c r="C133" s="17" t="s">
        <v>395</v>
      </c>
      <c r="D133" s="17" t="s">
        <v>396</v>
      </c>
      <c r="E133" s="24" t="s">
        <v>8</v>
      </c>
      <c r="F133" s="17" t="s">
        <v>397</v>
      </c>
      <c r="G133" s="14" t="s">
        <v>111</v>
      </c>
      <c r="H133" s="14" t="s">
        <v>112</v>
      </c>
    </row>
    <row r="134" spans="1:8" ht="30.75" customHeight="1" x14ac:dyDescent="0.2">
      <c r="A134" s="13" t="s">
        <v>398</v>
      </c>
      <c r="B134" s="9" t="s">
        <v>399</v>
      </c>
      <c r="C134" s="8">
        <f>COUNTA(C135:C136)</f>
        <v>2</v>
      </c>
      <c r="D134" s="8"/>
      <c r="E134" s="8">
        <f>COUNTA(E135:E136)</f>
        <v>2</v>
      </c>
      <c r="F134" s="17"/>
      <c r="G134" s="14" t="s">
        <v>111</v>
      </c>
      <c r="H134" s="14" t="s">
        <v>112</v>
      </c>
    </row>
    <row r="135" spans="1:8" ht="25.5" x14ac:dyDescent="0.2">
      <c r="A135" s="14">
        <v>118</v>
      </c>
      <c r="B135" s="16" t="s">
        <v>400</v>
      </c>
      <c r="C135" s="17" t="s">
        <v>401</v>
      </c>
      <c r="D135" s="17" t="s">
        <v>402</v>
      </c>
      <c r="E135" s="24" t="s">
        <v>8</v>
      </c>
      <c r="F135" s="17" t="s">
        <v>273</v>
      </c>
      <c r="G135" s="14" t="s">
        <v>111</v>
      </c>
      <c r="H135" s="14" t="s">
        <v>112</v>
      </c>
    </row>
    <row r="136" spans="1:8" ht="40.5" customHeight="1" x14ac:dyDescent="0.2">
      <c r="A136" s="14">
        <v>119</v>
      </c>
      <c r="B136" s="16" t="s">
        <v>403</v>
      </c>
      <c r="C136" s="17" t="s">
        <v>404</v>
      </c>
      <c r="D136" s="17" t="s">
        <v>405</v>
      </c>
      <c r="E136" s="24" t="s">
        <v>8</v>
      </c>
      <c r="F136" s="17" t="s">
        <v>273</v>
      </c>
      <c r="G136" s="14" t="s">
        <v>111</v>
      </c>
      <c r="H136" s="14" t="s">
        <v>112</v>
      </c>
    </row>
    <row r="137" spans="1:8" ht="30.75" customHeight="1" x14ac:dyDescent="0.2">
      <c r="A137" s="13" t="s">
        <v>406</v>
      </c>
      <c r="B137" s="9" t="s">
        <v>407</v>
      </c>
      <c r="C137" s="8">
        <f>COUNTA(C138:C139)</f>
        <v>2</v>
      </c>
      <c r="D137" s="8"/>
      <c r="E137" s="8">
        <f>COUNTA(E138:E139)</f>
        <v>2</v>
      </c>
      <c r="F137" s="17"/>
      <c r="G137" s="14" t="s">
        <v>111</v>
      </c>
      <c r="H137" s="14" t="s">
        <v>112</v>
      </c>
    </row>
    <row r="138" spans="1:8" ht="38.25" x14ac:dyDescent="0.2">
      <c r="A138" s="14">
        <v>120</v>
      </c>
      <c r="B138" s="16" t="s">
        <v>408</v>
      </c>
      <c r="C138" s="17" t="s">
        <v>409</v>
      </c>
      <c r="D138" s="19" t="s">
        <v>410</v>
      </c>
      <c r="E138" s="24" t="s">
        <v>8</v>
      </c>
      <c r="F138" s="17" t="s">
        <v>411</v>
      </c>
      <c r="G138" s="14" t="s">
        <v>111</v>
      </c>
      <c r="H138" s="14" t="s">
        <v>112</v>
      </c>
    </row>
    <row r="139" spans="1:8" ht="52.5" customHeight="1" x14ac:dyDescent="0.2">
      <c r="A139" s="14">
        <v>121</v>
      </c>
      <c r="B139" s="16" t="s">
        <v>412</v>
      </c>
      <c r="C139" s="17" t="s">
        <v>413</v>
      </c>
      <c r="D139" s="19" t="s">
        <v>414</v>
      </c>
      <c r="E139" s="24" t="s">
        <v>8</v>
      </c>
      <c r="F139" s="17" t="s">
        <v>411</v>
      </c>
      <c r="G139" s="14" t="s">
        <v>111</v>
      </c>
      <c r="H139" s="14" t="s">
        <v>112</v>
      </c>
    </row>
    <row r="140" spans="1:8" ht="30.75" customHeight="1" x14ac:dyDescent="0.2">
      <c r="A140" s="13" t="s">
        <v>415</v>
      </c>
      <c r="B140" s="9" t="s">
        <v>416</v>
      </c>
      <c r="C140" s="8">
        <f>COUNTA(C141)</f>
        <v>1</v>
      </c>
      <c r="D140" s="8"/>
      <c r="E140" s="8">
        <f>COUNTA(E141)</f>
        <v>1</v>
      </c>
      <c r="F140" s="17"/>
      <c r="G140" s="14" t="s">
        <v>111</v>
      </c>
      <c r="H140" s="14" t="s">
        <v>112</v>
      </c>
    </row>
    <row r="141" spans="1:8" ht="25.5" x14ac:dyDescent="0.2">
      <c r="A141" s="14">
        <v>122</v>
      </c>
      <c r="B141" s="16" t="s">
        <v>417</v>
      </c>
      <c r="C141" s="17" t="s">
        <v>418</v>
      </c>
      <c r="D141" s="19" t="s">
        <v>419</v>
      </c>
      <c r="E141" s="24" t="s">
        <v>8</v>
      </c>
      <c r="F141" s="17" t="s">
        <v>411</v>
      </c>
      <c r="G141" s="14" t="s">
        <v>111</v>
      </c>
      <c r="H141" s="14" t="s">
        <v>112</v>
      </c>
    </row>
    <row r="142" spans="1:8" ht="30.75" customHeight="1" x14ac:dyDescent="0.2">
      <c r="A142" s="13" t="s">
        <v>420</v>
      </c>
      <c r="B142" s="9" t="s">
        <v>421</v>
      </c>
      <c r="C142" s="8">
        <f>COUNTA(C143:C154)</f>
        <v>8</v>
      </c>
      <c r="D142" s="8"/>
      <c r="E142" s="8">
        <f>COUNTA(E143:E154)</f>
        <v>12</v>
      </c>
      <c r="F142" s="17"/>
      <c r="G142" s="14" t="s">
        <v>111</v>
      </c>
      <c r="H142" s="14" t="s">
        <v>112</v>
      </c>
    </row>
    <row r="143" spans="1:8" ht="25.5" x14ac:dyDescent="0.2">
      <c r="A143" s="14">
        <v>123</v>
      </c>
      <c r="B143" s="16" t="s">
        <v>422</v>
      </c>
      <c r="C143" s="17" t="s">
        <v>423</v>
      </c>
      <c r="D143" s="19" t="s">
        <v>424</v>
      </c>
      <c r="E143" s="24" t="s">
        <v>8</v>
      </c>
      <c r="F143" s="17" t="s">
        <v>425</v>
      </c>
      <c r="G143" s="14" t="s">
        <v>111</v>
      </c>
      <c r="H143" s="14" t="s">
        <v>112</v>
      </c>
    </row>
    <row r="144" spans="1:8" ht="25.5" x14ac:dyDescent="0.2">
      <c r="A144" s="14">
        <v>124</v>
      </c>
      <c r="B144" s="16" t="s">
        <v>426</v>
      </c>
      <c r="C144" s="50" t="s">
        <v>427</v>
      </c>
      <c r="D144" s="52" t="s">
        <v>428</v>
      </c>
      <c r="E144" s="24" t="s">
        <v>8</v>
      </c>
      <c r="F144" s="17" t="s">
        <v>429</v>
      </c>
      <c r="G144" s="14" t="s">
        <v>111</v>
      </c>
      <c r="H144" s="14" t="s">
        <v>112</v>
      </c>
    </row>
    <row r="145" spans="1:8" ht="25.5" x14ac:dyDescent="0.2">
      <c r="A145" s="14">
        <v>125</v>
      </c>
      <c r="B145" s="16" t="s">
        <v>430</v>
      </c>
      <c r="C145" s="50"/>
      <c r="D145" s="50"/>
      <c r="E145" s="24" t="s">
        <v>8</v>
      </c>
      <c r="F145" s="17" t="s">
        <v>429</v>
      </c>
      <c r="G145" s="14" t="s">
        <v>111</v>
      </c>
      <c r="H145" s="14" t="s">
        <v>112</v>
      </c>
    </row>
    <row r="146" spans="1:8" ht="52.5" customHeight="1" x14ac:dyDescent="0.2">
      <c r="A146" s="14">
        <v>126</v>
      </c>
      <c r="B146" s="9" t="s">
        <v>431</v>
      </c>
      <c r="C146" s="17" t="s">
        <v>432</v>
      </c>
      <c r="D146" s="17" t="s">
        <v>433</v>
      </c>
      <c r="E146" s="28" t="s">
        <v>7</v>
      </c>
      <c r="F146" s="10" t="s">
        <v>118</v>
      </c>
      <c r="G146" s="14" t="s">
        <v>111</v>
      </c>
      <c r="H146" s="14" t="s">
        <v>112</v>
      </c>
    </row>
    <row r="147" spans="1:8" ht="25.5" x14ac:dyDescent="0.2">
      <c r="A147" s="14">
        <v>127</v>
      </c>
      <c r="B147" s="16" t="s">
        <v>434</v>
      </c>
      <c r="C147" s="50" t="s">
        <v>435</v>
      </c>
      <c r="D147" s="52" t="s">
        <v>436</v>
      </c>
      <c r="E147" s="24" t="s">
        <v>8</v>
      </c>
      <c r="F147" s="17" t="s">
        <v>425</v>
      </c>
      <c r="G147" s="14" t="s">
        <v>111</v>
      </c>
      <c r="H147" s="14" t="s">
        <v>112</v>
      </c>
    </row>
    <row r="148" spans="1:8" ht="25.5" x14ac:dyDescent="0.2">
      <c r="A148" s="14">
        <v>128</v>
      </c>
      <c r="B148" s="16" t="s">
        <v>437</v>
      </c>
      <c r="C148" s="50"/>
      <c r="D148" s="50"/>
      <c r="E148" s="24" t="s">
        <v>8</v>
      </c>
      <c r="F148" s="17" t="s">
        <v>438</v>
      </c>
      <c r="G148" s="14" t="s">
        <v>111</v>
      </c>
      <c r="H148" s="14" t="s">
        <v>112</v>
      </c>
    </row>
    <row r="149" spans="1:8" ht="25.5" x14ac:dyDescent="0.2">
      <c r="A149" s="14">
        <v>129</v>
      </c>
      <c r="B149" s="16" t="s">
        <v>439</v>
      </c>
      <c r="C149" s="50"/>
      <c r="D149" s="50"/>
      <c r="E149" s="24" t="s">
        <v>8</v>
      </c>
      <c r="F149" s="17" t="s">
        <v>429</v>
      </c>
      <c r="G149" s="14" t="s">
        <v>111</v>
      </c>
      <c r="H149" s="14" t="s">
        <v>112</v>
      </c>
    </row>
    <row r="150" spans="1:8" ht="25.5" x14ac:dyDescent="0.2">
      <c r="A150" s="14">
        <v>130</v>
      </c>
      <c r="B150" s="16" t="s">
        <v>440</v>
      </c>
      <c r="C150" s="17" t="s">
        <v>441</v>
      </c>
      <c r="D150" s="19" t="s">
        <v>442</v>
      </c>
      <c r="E150" s="24" t="s">
        <v>8</v>
      </c>
      <c r="F150" s="17" t="s">
        <v>411</v>
      </c>
      <c r="G150" s="14" t="s">
        <v>111</v>
      </c>
      <c r="H150" s="14" t="s">
        <v>112</v>
      </c>
    </row>
    <row r="151" spans="1:8" ht="45" customHeight="1" x14ac:dyDescent="0.2">
      <c r="A151" s="14">
        <v>131</v>
      </c>
      <c r="B151" s="16" t="s">
        <v>443</v>
      </c>
      <c r="C151" s="50" t="s">
        <v>444</v>
      </c>
      <c r="D151" s="52" t="s">
        <v>445</v>
      </c>
      <c r="E151" s="24" t="s">
        <v>8</v>
      </c>
      <c r="F151" s="17" t="s">
        <v>446</v>
      </c>
      <c r="G151" s="14" t="s">
        <v>111</v>
      </c>
      <c r="H151" s="14" t="s">
        <v>112</v>
      </c>
    </row>
    <row r="152" spans="1:8" ht="45" customHeight="1" x14ac:dyDescent="0.2">
      <c r="A152" s="14">
        <v>132</v>
      </c>
      <c r="B152" s="9" t="s">
        <v>447</v>
      </c>
      <c r="C152" s="50"/>
      <c r="D152" s="50"/>
      <c r="E152" s="10" t="s">
        <v>7</v>
      </c>
      <c r="F152" s="10" t="s">
        <v>137</v>
      </c>
      <c r="G152" s="14" t="s">
        <v>111</v>
      </c>
      <c r="H152" s="14" t="s">
        <v>112</v>
      </c>
    </row>
    <row r="153" spans="1:8" ht="48.75" customHeight="1" x14ac:dyDescent="0.2">
      <c r="A153" s="14">
        <v>133</v>
      </c>
      <c r="B153" s="16" t="s">
        <v>448</v>
      </c>
      <c r="C153" s="17" t="s">
        <v>449</v>
      </c>
      <c r="D153" s="19" t="s">
        <v>450</v>
      </c>
      <c r="E153" s="24" t="s">
        <v>8</v>
      </c>
      <c r="F153" s="17" t="s">
        <v>429</v>
      </c>
      <c r="G153" s="14" t="s">
        <v>111</v>
      </c>
      <c r="H153" s="14" t="s">
        <v>112</v>
      </c>
    </row>
    <row r="154" spans="1:8" ht="25.5" x14ac:dyDescent="0.2">
      <c r="A154" s="14">
        <v>134</v>
      </c>
      <c r="B154" s="16" t="s">
        <v>451</v>
      </c>
      <c r="C154" s="17" t="s">
        <v>452</v>
      </c>
      <c r="D154" s="19" t="s">
        <v>453</v>
      </c>
      <c r="E154" s="24" t="s">
        <v>8</v>
      </c>
      <c r="F154" s="17" t="s">
        <v>425</v>
      </c>
      <c r="G154" s="14" t="s">
        <v>111</v>
      </c>
      <c r="H154" s="14" t="s">
        <v>112</v>
      </c>
    </row>
    <row r="155" spans="1:8" ht="30.75" customHeight="1" x14ac:dyDescent="0.2">
      <c r="A155" s="29" t="s">
        <v>454</v>
      </c>
      <c r="B155" s="9" t="s">
        <v>455</v>
      </c>
      <c r="C155" s="8">
        <f>COUNTA(C156:C159)</f>
        <v>4</v>
      </c>
      <c r="D155" s="8"/>
      <c r="E155" s="8">
        <f>COUNTA(E156:E159)</f>
        <v>4</v>
      </c>
      <c r="F155" s="17"/>
      <c r="G155" s="14" t="s">
        <v>111</v>
      </c>
      <c r="H155" s="14" t="s">
        <v>112</v>
      </c>
    </row>
    <row r="156" spans="1:8" ht="48.75" customHeight="1" x14ac:dyDescent="0.2">
      <c r="A156" s="17">
        <v>135</v>
      </c>
      <c r="B156" s="30" t="s">
        <v>456</v>
      </c>
      <c r="C156" s="17" t="s">
        <v>457</v>
      </c>
      <c r="D156" s="17" t="s">
        <v>458</v>
      </c>
      <c r="E156" s="14" t="s">
        <v>8</v>
      </c>
      <c r="F156" s="20" t="s">
        <v>110</v>
      </c>
      <c r="G156" s="14" t="s">
        <v>111</v>
      </c>
      <c r="H156" s="14" t="s">
        <v>112</v>
      </c>
    </row>
    <row r="157" spans="1:8" ht="25.5" x14ac:dyDescent="0.2">
      <c r="A157" s="17">
        <v>136</v>
      </c>
      <c r="B157" s="16" t="s">
        <v>459</v>
      </c>
      <c r="C157" s="17" t="s">
        <v>460</v>
      </c>
      <c r="D157" s="19" t="s">
        <v>461</v>
      </c>
      <c r="E157" s="24" t="s">
        <v>8</v>
      </c>
      <c r="F157" s="17" t="s">
        <v>429</v>
      </c>
      <c r="G157" s="14" t="s">
        <v>111</v>
      </c>
      <c r="H157" s="14" t="s">
        <v>112</v>
      </c>
    </row>
    <row r="158" spans="1:8" ht="48.75" customHeight="1" x14ac:dyDescent="0.2">
      <c r="A158" s="17">
        <v>137</v>
      </c>
      <c r="B158" s="16" t="s">
        <v>462</v>
      </c>
      <c r="C158" s="17" t="s">
        <v>463</v>
      </c>
      <c r="D158" s="19" t="s">
        <v>464</v>
      </c>
      <c r="E158" s="24" t="s">
        <v>8</v>
      </c>
      <c r="F158" s="17" t="s">
        <v>429</v>
      </c>
      <c r="G158" s="14" t="s">
        <v>111</v>
      </c>
      <c r="H158" s="14" t="s">
        <v>112</v>
      </c>
    </row>
    <row r="159" spans="1:8" ht="25.5" x14ac:dyDescent="0.2">
      <c r="A159" s="17">
        <v>138</v>
      </c>
      <c r="B159" s="16" t="s">
        <v>465</v>
      </c>
      <c r="C159" s="17" t="s">
        <v>466</v>
      </c>
      <c r="D159" s="17" t="s">
        <v>458</v>
      </c>
      <c r="E159" s="24" t="s">
        <v>8</v>
      </c>
      <c r="F159" s="17" t="s">
        <v>425</v>
      </c>
      <c r="G159" s="14" t="s">
        <v>111</v>
      </c>
      <c r="H159" s="14" t="s">
        <v>112</v>
      </c>
    </row>
    <row r="160" spans="1:8" ht="30.75" customHeight="1" x14ac:dyDescent="0.2">
      <c r="A160" s="13" t="s">
        <v>467</v>
      </c>
      <c r="B160" s="9" t="s">
        <v>468</v>
      </c>
      <c r="C160" s="8">
        <f>COUNTA(C161:C164)</f>
        <v>3</v>
      </c>
      <c r="D160" s="8"/>
      <c r="E160" s="8">
        <f>COUNTA(E161:E164)</f>
        <v>4</v>
      </c>
      <c r="F160" s="17"/>
      <c r="G160" s="14" t="s">
        <v>111</v>
      </c>
      <c r="H160" s="14" t="s">
        <v>112</v>
      </c>
    </row>
    <row r="161" spans="1:8" ht="25.5" x14ac:dyDescent="0.2">
      <c r="A161" s="14">
        <v>139</v>
      </c>
      <c r="B161" s="16" t="s">
        <v>469</v>
      </c>
      <c r="C161" s="17" t="s">
        <v>470</v>
      </c>
      <c r="D161" s="19" t="s">
        <v>471</v>
      </c>
      <c r="E161" s="24" t="s">
        <v>8</v>
      </c>
      <c r="F161" s="17" t="s">
        <v>425</v>
      </c>
      <c r="G161" s="14" t="s">
        <v>111</v>
      </c>
      <c r="H161" s="14" t="s">
        <v>112</v>
      </c>
    </row>
    <row r="162" spans="1:8" ht="25.5" x14ac:dyDescent="0.2">
      <c r="A162" s="14">
        <v>140</v>
      </c>
      <c r="B162" s="16" t="s">
        <v>472</v>
      </c>
      <c r="C162" s="17" t="s">
        <v>473</v>
      </c>
      <c r="D162" s="19" t="s">
        <v>474</v>
      </c>
      <c r="E162" s="24" t="s">
        <v>8</v>
      </c>
      <c r="F162" s="17" t="s">
        <v>425</v>
      </c>
      <c r="G162" s="14" t="s">
        <v>111</v>
      </c>
      <c r="H162" s="14" t="s">
        <v>112</v>
      </c>
    </row>
    <row r="163" spans="1:8" ht="25.5" x14ac:dyDescent="0.2">
      <c r="A163" s="14">
        <v>141</v>
      </c>
      <c r="B163" s="16" t="s">
        <v>475</v>
      </c>
      <c r="C163" s="50" t="s">
        <v>476</v>
      </c>
      <c r="D163" s="50" t="s">
        <v>477</v>
      </c>
      <c r="E163" s="24" t="s">
        <v>8</v>
      </c>
      <c r="F163" s="17" t="s">
        <v>194</v>
      </c>
      <c r="G163" s="14" t="s">
        <v>111</v>
      </c>
      <c r="H163" s="14" t="s">
        <v>112</v>
      </c>
    </row>
    <row r="164" spans="1:8" ht="25.5" x14ac:dyDescent="0.2">
      <c r="A164" s="14">
        <v>142</v>
      </c>
      <c r="B164" s="16" t="s">
        <v>478</v>
      </c>
      <c r="C164" s="50"/>
      <c r="D164" s="50"/>
      <c r="E164" s="24" t="s">
        <v>8</v>
      </c>
      <c r="F164" s="17" t="s">
        <v>194</v>
      </c>
      <c r="G164" s="14" t="s">
        <v>111</v>
      </c>
      <c r="H164" s="14" t="s">
        <v>112</v>
      </c>
    </row>
    <row r="165" spans="1:8" ht="30.75" customHeight="1" x14ac:dyDescent="0.2">
      <c r="A165" s="13" t="s">
        <v>479</v>
      </c>
      <c r="B165" s="9" t="s">
        <v>480</v>
      </c>
      <c r="C165" s="8">
        <f>COUNTA(C166:C175)</f>
        <v>4</v>
      </c>
      <c r="D165" s="8"/>
      <c r="E165" s="8">
        <f>COUNTA(E166:E175)</f>
        <v>10</v>
      </c>
      <c r="F165" s="17"/>
      <c r="G165" s="14" t="s">
        <v>111</v>
      </c>
      <c r="H165" s="14" t="s">
        <v>112</v>
      </c>
    </row>
    <row r="166" spans="1:8" ht="25.5" x14ac:dyDescent="0.2">
      <c r="A166" s="17">
        <v>143</v>
      </c>
      <c r="B166" s="16" t="s">
        <v>481</v>
      </c>
      <c r="C166" s="17" t="s">
        <v>482</v>
      </c>
      <c r="D166" s="17" t="s">
        <v>483</v>
      </c>
      <c r="E166" s="24" t="s">
        <v>8</v>
      </c>
      <c r="F166" s="17" t="s">
        <v>484</v>
      </c>
      <c r="G166" s="14" t="s">
        <v>111</v>
      </c>
      <c r="H166" s="14" t="s">
        <v>112</v>
      </c>
    </row>
    <row r="167" spans="1:8" ht="38.25" x14ac:dyDescent="0.2">
      <c r="A167" s="17">
        <v>144</v>
      </c>
      <c r="B167" s="16" t="s">
        <v>485</v>
      </c>
      <c r="C167" s="17" t="s">
        <v>486</v>
      </c>
      <c r="D167" s="17" t="s">
        <v>487</v>
      </c>
      <c r="E167" s="24" t="s">
        <v>8</v>
      </c>
      <c r="F167" s="17" t="s">
        <v>484</v>
      </c>
      <c r="G167" s="14" t="s">
        <v>488</v>
      </c>
      <c r="H167" s="14" t="s">
        <v>112</v>
      </c>
    </row>
    <row r="168" spans="1:8" ht="39.75" customHeight="1" x14ac:dyDescent="0.2">
      <c r="A168" s="17">
        <v>145</v>
      </c>
      <c r="B168" s="16" t="s">
        <v>489</v>
      </c>
      <c r="C168" s="50" t="s">
        <v>490</v>
      </c>
      <c r="D168" s="50" t="s">
        <v>491</v>
      </c>
      <c r="E168" s="24" t="s">
        <v>8</v>
      </c>
      <c r="F168" s="17" t="s">
        <v>492</v>
      </c>
      <c r="G168" s="14" t="s">
        <v>111</v>
      </c>
      <c r="H168" s="14" t="s">
        <v>112</v>
      </c>
    </row>
    <row r="169" spans="1:8" ht="25.5" x14ac:dyDescent="0.2">
      <c r="A169" s="17">
        <v>146</v>
      </c>
      <c r="B169" s="16" t="s">
        <v>493</v>
      </c>
      <c r="C169" s="50"/>
      <c r="D169" s="50"/>
      <c r="E169" s="24" t="s">
        <v>8</v>
      </c>
      <c r="F169" s="17" t="s">
        <v>492</v>
      </c>
      <c r="G169" s="14" t="s">
        <v>111</v>
      </c>
      <c r="H169" s="14" t="s">
        <v>112</v>
      </c>
    </row>
    <row r="170" spans="1:8" ht="25.5" x14ac:dyDescent="0.2">
      <c r="A170" s="17">
        <v>147</v>
      </c>
      <c r="B170" s="16" t="s">
        <v>494</v>
      </c>
      <c r="C170" s="50"/>
      <c r="D170" s="50"/>
      <c r="E170" s="24" t="s">
        <v>8</v>
      </c>
      <c r="F170" s="17" t="s">
        <v>495</v>
      </c>
      <c r="G170" s="14" t="s">
        <v>111</v>
      </c>
      <c r="H170" s="14" t="s">
        <v>112</v>
      </c>
    </row>
    <row r="171" spans="1:8" ht="47.25" customHeight="1" x14ac:dyDescent="0.2">
      <c r="A171" s="17">
        <v>148</v>
      </c>
      <c r="B171" s="16" t="s">
        <v>496</v>
      </c>
      <c r="C171" s="50"/>
      <c r="D171" s="50"/>
      <c r="E171" s="24" t="s">
        <v>8</v>
      </c>
      <c r="F171" s="17" t="s">
        <v>495</v>
      </c>
      <c r="G171" s="14" t="s">
        <v>111</v>
      </c>
      <c r="H171" s="14" t="s">
        <v>112</v>
      </c>
    </row>
    <row r="172" spans="1:8" ht="25.5" x14ac:dyDescent="0.2">
      <c r="A172" s="17">
        <v>149</v>
      </c>
      <c r="B172" s="16" t="s">
        <v>497</v>
      </c>
      <c r="C172" s="50"/>
      <c r="D172" s="50"/>
      <c r="E172" s="24" t="s">
        <v>8</v>
      </c>
      <c r="F172" s="17" t="s">
        <v>495</v>
      </c>
      <c r="G172" s="14" t="s">
        <v>111</v>
      </c>
      <c r="H172" s="14" t="s">
        <v>112</v>
      </c>
    </row>
    <row r="173" spans="1:8" ht="48" customHeight="1" x14ac:dyDescent="0.2">
      <c r="A173" s="17">
        <v>150</v>
      </c>
      <c r="B173" s="16" t="s">
        <v>498</v>
      </c>
      <c r="C173" s="50"/>
      <c r="D173" s="50"/>
      <c r="E173" s="24" t="s">
        <v>8</v>
      </c>
      <c r="F173" s="17" t="s">
        <v>499</v>
      </c>
      <c r="G173" s="14" t="s">
        <v>111</v>
      </c>
      <c r="H173" s="14" t="s">
        <v>112</v>
      </c>
    </row>
    <row r="174" spans="1:8" ht="45" customHeight="1" x14ac:dyDescent="0.2">
      <c r="A174" s="17">
        <v>151</v>
      </c>
      <c r="B174" s="16" t="s">
        <v>500</v>
      </c>
      <c r="C174" s="50"/>
      <c r="D174" s="50"/>
      <c r="E174" s="24" t="s">
        <v>8</v>
      </c>
      <c r="F174" s="17" t="s">
        <v>499</v>
      </c>
      <c r="G174" s="14" t="s">
        <v>111</v>
      </c>
      <c r="H174" s="14" t="s">
        <v>112</v>
      </c>
    </row>
    <row r="175" spans="1:8" ht="54.75" customHeight="1" x14ac:dyDescent="0.2">
      <c r="A175" s="17">
        <v>152</v>
      </c>
      <c r="B175" s="16" t="s">
        <v>501</v>
      </c>
      <c r="C175" s="17" t="s">
        <v>502</v>
      </c>
      <c r="D175" s="17" t="s">
        <v>503</v>
      </c>
      <c r="E175" s="24" t="s">
        <v>8</v>
      </c>
      <c r="F175" s="17" t="s">
        <v>492</v>
      </c>
      <c r="G175" s="14" t="s">
        <v>111</v>
      </c>
      <c r="H175" s="14" t="s">
        <v>112</v>
      </c>
    </row>
    <row r="176" spans="1:8" ht="30.75" customHeight="1" x14ac:dyDescent="0.2">
      <c r="A176" s="13" t="s">
        <v>504</v>
      </c>
      <c r="B176" s="9" t="s">
        <v>505</v>
      </c>
      <c r="C176" s="8">
        <f>COUNTA(C177:C179)</f>
        <v>3</v>
      </c>
      <c r="D176" s="8"/>
      <c r="E176" s="8">
        <f>COUNTA(E177:E179)</f>
        <v>3</v>
      </c>
      <c r="F176" s="17"/>
      <c r="G176" s="14" t="s">
        <v>111</v>
      </c>
      <c r="H176" s="14" t="s">
        <v>112</v>
      </c>
    </row>
    <row r="177" spans="1:8" ht="56.25" customHeight="1" x14ac:dyDescent="0.2">
      <c r="A177" s="17">
        <v>153</v>
      </c>
      <c r="B177" s="16" t="s">
        <v>506</v>
      </c>
      <c r="C177" s="21" t="s">
        <v>507</v>
      </c>
      <c r="D177" s="17" t="s">
        <v>508</v>
      </c>
      <c r="E177" s="24" t="s">
        <v>8</v>
      </c>
      <c r="F177" s="17" t="s">
        <v>499</v>
      </c>
      <c r="G177" s="14" t="s">
        <v>111</v>
      </c>
      <c r="H177" s="14" t="s">
        <v>112</v>
      </c>
    </row>
    <row r="178" spans="1:8" ht="25.5" x14ac:dyDescent="0.2">
      <c r="A178" s="17">
        <v>154</v>
      </c>
      <c r="B178" s="16" t="s">
        <v>509</v>
      </c>
      <c r="C178" s="17" t="s">
        <v>510</v>
      </c>
      <c r="D178" s="17" t="s">
        <v>511</v>
      </c>
      <c r="E178" s="24" t="s">
        <v>8</v>
      </c>
      <c r="F178" s="17" t="s">
        <v>495</v>
      </c>
      <c r="G178" s="14" t="s">
        <v>111</v>
      </c>
      <c r="H178" s="14" t="s">
        <v>112</v>
      </c>
    </row>
    <row r="179" spans="1:8" ht="43.5" customHeight="1" x14ac:dyDescent="0.2">
      <c r="A179" s="17">
        <v>155</v>
      </c>
      <c r="B179" s="16" t="s">
        <v>512</v>
      </c>
      <c r="C179" s="17" t="s">
        <v>513</v>
      </c>
      <c r="D179" s="17" t="s">
        <v>514</v>
      </c>
      <c r="E179" s="24" t="s">
        <v>8</v>
      </c>
      <c r="F179" s="17" t="s">
        <v>495</v>
      </c>
      <c r="G179" s="14" t="s">
        <v>111</v>
      </c>
      <c r="H179" s="14" t="s">
        <v>112</v>
      </c>
    </row>
    <row r="180" spans="1:8" ht="30.75" customHeight="1" x14ac:dyDescent="0.2">
      <c r="A180" s="13" t="s">
        <v>515</v>
      </c>
      <c r="B180" s="9" t="s">
        <v>516</v>
      </c>
      <c r="C180" s="8">
        <f>COUNTA(C181:C185)</f>
        <v>2</v>
      </c>
      <c r="D180" s="8"/>
      <c r="E180" s="8">
        <f>COUNTA(E181:E185)</f>
        <v>5</v>
      </c>
      <c r="F180" s="17"/>
      <c r="G180" s="14" t="s">
        <v>111</v>
      </c>
      <c r="H180" s="14" t="s">
        <v>112</v>
      </c>
    </row>
    <row r="181" spans="1:8" ht="25.5" x14ac:dyDescent="0.2">
      <c r="A181" s="17">
        <v>156</v>
      </c>
      <c r="B181" s="16" t="s">
        <v>517</v>
      </c>
      <c r="C181" s="50" t="s">
        <v>518</v>
      </c>
      <c r="D181" s="50" t="s">
        <v>519</v>
      </c>
      <c r="E181" s="24" t="s">
        <v>8</v>
      </c>
      <c r="F181" s="17" t="s">
        <v>495</v>
      </c>
      <c r="G181" s="14" t="s">
        <v>111</v>
      </c>
      <c r="H181" s="14" t="s">
        <v>112</v>
      </c>
    </row>
    <row r="182" spans="1:8" ht="25.5" x14ac:dyDescent="0.2">
      <c r="A182" s="17">
        <v>157</v>
      </c>
      <c r="B182" s="16" t="s">
        <v>520</v>
      </c>
      <c r="C182" s="50"/>
      <c r="D182" s="50"/>
      <c r="E182" s="24" t="s">
        <v>8</v>
      </c>
      <c r="F182" s="17" t="s">
        <v>495</v>
      </c>
      <c r="G182" s="14" t="s">
        <v>111</v>
      </c>
      <c r="H182" s="14" t="s">
        <v>112</v>
      </c>
    </row>
    <row r="183" spans="1:8" ht="25.5" x14ac:dyDescent="0.2">
      <c r="A183" s="17">
        <v>158</v>
      </c>
      <c r="B183" s="16" t="s">
        <v>521</v>
      </c>
      <c r="C183" s="50" t="s">
        <v>522</v>
      </c>
      <c r="D183" s="50" t="s">
        <v>523</v>
      </c>
      <c r="E183" s="24" t="s">
        <v>8</v>
      </c>
      <c r="F183" s="17" t="s">
        <v>495</v>
      </c>
      <c r="G183" s="14" t="s">
        <v>111</v>
      </c>
      <c r="H183" s="14" t="s">
        <v>112</v>
      </c>
    </row>
    <row r="184" spans="1:8" ht="25.5" x14ac:dyDescent="0.2">
      <c r="A184" s="17">
        <v>159</v>
      </c>
      <c r="B184" s="16" t="s">
        <v>524</v>
      </c>
      <c r="C184" s="50"/>
      <c r="D184" s="50"/>
      <c r="E184" s="24" t="s">
        <v>8</v>
      </c>
      <c r="F184" s="17" t="s">
        <v>495</v>
      </c>
      <c r="G184" s="14" t="s">
        <v>111</v>
      </c>
      <c r="H184" s="14" t="s">
        <v>112</v>
      </c>
    </row>
    <row r="185" spans="1:8" ht="25.5" x14ac:dyDescent="0.2">
      <c r="A185" s="17">
        <v>160</v>
      </c>
      <c r="B185" s="16" t="s">
        <v>525</v>
      </c>
      <c r="C185" s="50"/>
      <c r="D185" s="50"/>
      <c r="E185" s="24" t="s">
        <v>8</v>
      </c>
      <c r="F185" s="17" t="s">
        <v>492</v>
      </c>
      <c r="G185" s="14" t="s">
        <v>111</v>
      </c>
      <c r="H185" s="14" t="s">
        <v>112</v>
      </c>
    </row>
    <row r="186" spans="1:8" ht="30.75" customHeight="1" x14ac:dyDescent="0.2">
      <c r="A186" s="13" t="s">
        <v>526</v>
      </c>
      <c r="B186" s="9" t="s">
        <v>527</v>
      </c>
      <c r="C186" s="8">
        <f>COUNTA(C187:C191)</f>
        <v>3</v>
      </c>
      <c r="D186" s="8"/>
      <c r="E186" s="8">
        <f>COUNTA(E187:E191)</f>
        <v>5</v>
      </c>
      <c r="F186" s="17"/>
      <c r="G186" s="14" t="s">
        <v>111</v>
      </c>
      <c r="H186" s="14" t="s">
        <v>112</v>
      </c>
    </row>
    <row r="187" spans="1:8" ht="34.5" customHeight="1" x14ac:dyDescent="0.2">
      <c r="A187" s="17">
        <v>161</v>
      </c>
      <c r="B187" s="9" t="s">
        <v>528</v>
      </c>
      <c r="C187" s="50" t="s">
        <v>529</v>
      </c>
      <c r="D187" s="50" t="s">
        <v>530</v>
      </c>
      <c r="E187" s="28" t="s">
        <v>7</v>
      </c>
      <c r="F187" s="10" t="s">
        <v>118</v>
      </c>
      <c r="G187" s="14" t="s">
        <v>111</v>
      </c>
      <c r="H187" s="14" t="s">
        <v>112</v>
      </c>
    </row>
    <row r="188" spans="1:8" ht="37.5" customHeight="1" x14ac:dyDescent="0.2">
      <c r="A188" s="17">
        <v>162</v>
      </c>
      <c r="B188" s="16" t="s">
        <v>531</v>
      </c>
      <c r="C188" s="50"/>
      <c r="D188" s="50"/>
      <c r="E188" s="24" t="s">
        <v>8</v>
      </c>
      <c r="F188" s="17" t="s">
        <v>495</v>
      </c>
      <c r="G188" s="14" t="s">
        <v>111</v>
      </c>
      <c r="H188" s="14" t="s">
        <v>112</v>
      </c>
    </row>
    <row r="189" spans="1:8" ht="56.25" customHeight="1" x14ac:dyDescent="0.2">
      <c r="A189" s="17">
        <v>163</v>
      </c>
      <c r="B189" s="16" t="s">
        <v>532</v>
      </c>
      <c r="C189" s="50"/>
      <c r="D189" s="50"/>
      <c r="E189" s="24" t="s">
        <v>8</v>
      </c>
      <c r="F189" s="17" t="s">
        <v>495</v>
      </c>
      <c r="G189" s="14" t="s">
        <v>111</v>
      </c>
      <c r="H189" s="14" t="s">
        <v>112</v>
      </c>
    </row>
    <row r="190" spans="1:8" ht="25.5" x14ac:dyDescent="0.2">
      <c r="A190" s="17">
        <v>164</v>
      </c>
      <c r="B190" s="16" t="s">
        <v>533</v>
      </c>
      <c r="C190" s="17" t="s">
        <v>534</v>
      </c>
      <c r="D190" s="17" t="s">
        <v>535</v>
      </c>
      <c r="E190" s="24" t="s">
        <v>8</v>
      </c>
      <c r="F190" s="17" t="s">
        <v>484</v>
      </c>
      <c r="G190" s="14" t="s">
        <v>111</v>
      </c>
      <c r="H190" s="14" t="s">
        <v>112</v>
      </c>
    </row>
    <row r="191" spans="1:8" ht="43.5" customHeight="1" x14ac:dyDescent="0.2">
      <c r="A191" s="17">
        <v>165</v>
      </c>
      <c r="B191" s="16" t="s">
        <v>536</v>
      </c>
      <c r="C191" s="17" t="s">
        <v>537</v>
      </c>
      <c r="D191" s="17"/>
      <c r="E191" s="24" t="s">
        <v>8</v>
      </c>
      <c r="F191" s="17" t="s">
        <v>499</v>
      </c>
      <c r="G191" s="14" t="s">
        <v>111</v>
      </c>
      <c r="H191" s="14" t="s">
        <v>112</v>
      </c>
    </row>
    <row r="192" spans="1:8" ht="30.75" customHeight="1" x14ac:dyDescent="0.2">
      <c r="A192" s="13" t="s">
        <v>538</v>
      </c>
      <c r="B192" s="9" t="s">
        <v>539</v>
      </c>
      <c r="C192" s="8">
        <f>COUNTA(C193:C204)</f>
        <v>7</v>
      </c>
      <c r="D192" s="8"/>
      <c r="E192" s="8">
        <f>COUNTA(E193:E204)</f>
        <v>12</v>
      </c>
      <c r="F192" s="17"/>
      <c r="G192" s="14" t="s">
        <v>111</v>
      </c>
      <c r="H192" s="14" t="s">
        <v>112</v>
      </c>
    </row>
    <row r="193" spans="1:8" ht="25.5" x14ac:dyDescent="0.2">
      <c r="A193" s="14">
        <v>166</v>
      </c>
      <c r="B193" s="16" t="s">
        <v>540</v>
      </c>
      <c r="C193" s="17" t="s">
        <v>541</v>
      </c>
      <c r="D193" s="17" t="s">
        <v>542</v>
      </c>
      <c r="E193" s="24" t="s">
        <v>8</v>
      </c>
      <c r="F193" s="17" t="s">
        <v>543</v>
      </c>
      <c r="G193" s="14" t="s">
        <v>544</v>
      </c>
      <c r="H193" s="14" t="s">
        <v>112</v>
      </c>
    </row>
    <row r="194" spans="1:8" ht="86.25" customHeight="1" x14ac:dyDescent="0.2">
      <c r="A194" s="14">
        <v>167</v>
      </c>
      <c r="B194" s="16" t="s">
        <v>545</v>
      </c>
      <c r="C194" s="17" t="s">
        <v>546</v>
      </c>
      <c r="D194" s="17" t="s">
        <v>547</v>
      </c>
      <c r="E194" s="24" t="s">
        <v>8</v>
      </c>
      <c r="F194" s="17" t="s">
        <v>543</v>
      </c>
      <c r="G194" s="14" t="s">
        <v>111</v>
      </c>
      <c r="H194" s="14" t="s">
        <v>112</v>
      </c>
    </row>
    <row r="195" spans="1:8" ht="25.5" x14ac:dyDescent="0.2">
      <c r="A195" s="14">
        <v>168</v>
      </c>
      <c r="B195" s="16" t="s">
        <v>548</v>
      </c>
      <c r="C195" s="54" t="s">
        <v>549</v>
      </c>
      <c r="D195" s="50" t="s">
        <v>550</v>
      </c>
      <c r="E195" s="24" t="s">
        <v>8</v>
      </c>
      <c r="F195" s="17" t="s">
        <v>551</v>
      </c>
      <c r="G195" s="14" t="s">
        <v>111</v>
      </c>
      <c r="H195" s="14" t="s">
        <v>112</v>
      </c>
    </row>
    <row r="196" spans="1:8" ht="51" customHeight="1" x14ac:dyDescent="0.2">
      <c r="A196" s="14">
        <v>169</v>
      </c>
      <c r="B196" s="23" t="s">
        <v>552</v>
      </c>
      <c r="C196" s="54"/>
      <c r="D196" s="50"/>
      <c r="E196" s="24" t="s">
        <v>8</v>
      </c>
      <c r="F196" s="17" t="s">
        <v>553</v>
      </c>
      <c r="G196" s="14" t="s">
        <v>111</v>
      </c>
      <c r="H196" s="14" t="s">
        <v>112</v>
      </c>
    </row>
    <row r="197" spans="1:8" ht="47.25" customHeight="1" x14ac:dyDescent="0.2">
      <c r="A197" s="14">
        <v>170</v>
      </c>
      <c r="B197" s="23" t="s">
        <v>554</v>
      </c>
      <c r="C197" s="54"/>
      <c r="D197" s="50"/>
      <c r="E197" s="24" t="s">
        <v>8</v>
      </c>
      <c r="F197" s="17" t="s">
        <v>555</v>
      </c>
      <c r="G197" s="14" t="s">
        <v>111</v>
      </c>
      <c r="H197" s="14" t="s">
        <v>112</v>
      </c>
    </row>
    <row r="198" spans="1:8" ht="33.75" customHeight="1" x14ac:dyDescent="0.2">
      <c r="A198" s="14">
        <v>171</v>
      </c>
      <c r="B198" s="23" t="s">
        <v>556</v>
      </c>
      <c r="C198" s="54"/>
      <c r="D198" s="50"/>
      <c r="E198" s="24" t="s">
        <v>8</v>
      </c>
      <c r="F198" s="17" t="s">
        <v>555</v>
      </c>
      <c r="G198" s="14" t="s">
        <v>111</v>
      </c>
      <c r="H198" s="14" t="s">
        <v>112</v>
      </c>
    </row>
    <row r="199" spans="1:8" ht="57.75" customHeight="1" x14ac:dyDescent="0.2">
      <c r="A199" s="14">
        <v>172</v>
      </c>
      <c r="B199" s="16" t="s">
        <v>557</v>
      </c>
      <c r="C199" s="17" t="s">
        <v>558</v>
      </c>
      <c r="D199" s="17" t="s">
        <v>559</v>
      </c>
      <c r="E199" s="24" t="s">
        <v>8</v>
      </c>
      <c r="F199" s="17" t="s">
        <v>543</v>
      </c>
      <c r="G199" s="14" t="s">
        <v>111</v>
      </c>
      <c r="H199" s="14" t="s">
        <v>112</v>
      </c>
    </row>
    <row r="200" spans="1:8" ht="47.25" customHeight="1" x14ac:dyDescent="0.2">
      <c r="A200" s="14">
        <v>173</v>
      </c>
      <c r="B200" s="16" t="s">
        <v>560</v>
      </c>
      <c r="C200" s="50" t="s">
        <v>561</v>
      </c>
      <c r="D200" s="50" t="s">
        <v>562</v>
      </c>
      <c r="E200" s="24" t="s">
        <v>8</v>
      </c>
      <c r="F200" s="17" t="s">
        <v>543</v>
      </c>
      <c r="G200" s="14" t="s">
        <v>111</v>
      </c>
      <c r="H200" s="14" t="s">
        <v>112</v>
      </c>
    </row>
    <row r="201" spans="1:8" ht="47.25" customHeight="1" x14ac:dyDescent="0.2">
      <c r="A201" s="14">
        <v>174</v>
      </c>
      <c r="B201" s="16" t="s">
        <v>563</v>
      </c>
      <c r="C201" s="50"/>
      <c r="D201" s="50"/>
      <c r="E201" s="24" t="s">
        <v>8</v>
      </c>
      <c r="F201" s="17" t="s">
        <v>543</v>
      </c>
      <c r="G201" s="14" t="s">
        <v>111</v>
      </c>
      <c r="H201" s="14" t="s">
        <v>112</v>
      </c>
    </row>
    <row r="202" spans="1:8" ht="63.75" customHeight="1" x14ac:dyDescent="0.2">
      <c r="A202" s="14">
        <v>175</v>
      </c>
      <c r="B202" s="16" t="s">
        <v>536</v>
      </c>
      <c r="C202" s="17" t="s">
        <v>564</v>
      </c>
      <c r="D202" s="17" t="s">
        <v>565</v>
      </c>
      <c r="E202" s="24" t="s">
        <v>8</v>
      </c>
      <c r="F202" s="17" t="s">
        <v>566</v>
      </c>
      <c r="G202" s="14" t="s">
        <v>111</v>
      </c>
      <c r="H202" s="14" t="s">
        <v>112</v>
      </c>
    </row>
    <row r="203" spans="1:8" ht="63.75" customHeight="1" x14ac:dyDescent="0.2">
      <c r="A203" s="14">
        <v>176</v>
      </c>
      <c r="B203" s="16" t="s">
        <v>567</v>
      </c>
      <c r="C203" s="50" t="s">
        <v>568</v>
      </c>
      <c r="D203" s="50" t="s">
        <v>569</v>
      </c>
      <c r="E203" s="24" t="s">
        <v>8</v>
      </c>
      <c r="F203" s="17" t="s">
        <v>566</v>
      </c>
      <c r="G203" s="14" t="s">
        <v>111</v>
      </c>
      <c r="H203" s="14" t="s">
        <v>112</v>
      </c>
    </row>
    <row r="204" spans="1:8" ht="63.75" customHeight="1" x14ac:dyDescent="0.2">
      <c r="A204" s="14">
        <v>177</v>
      </c>
      <c r="B204" s="16" t="s">
        <v>570</v>
      </c>
      <c r="C204" s="50"/>
      <c r="D204" s="50"/>
      <c r="E204" s="24" t="s">
        <v>8</v>
      </c>
      <c r="F204" s="17" t="s">
        <v>566</v>
      </c>
      <c r="G204" s="14" t="s">
        <v>111</v>
      </c>
      <c r="H204" s="14" t="s">
        <v>112</v>
      </c>
    </row>
    <row r="205" spans="1:8" ht="30.75" customHeight="1" x14ac:dyDescent="0.2">
      <c r="A205" s="13" t="s">
        <v>571</v>
      </c>
      <c r="B205" s="9" t="s">
        <v>572</v>
      </c>
      <c r="C205" s="8">
        <f>COUNTA(C206:C210)</f>
        <v>3</v>
      </c>
      <c r="D205" s="8"/>
      <c r="E205" s="8">
        <f>COUNTA(E206:E210)</f>
        <v>5</v>
      </c>
      <c r="F205" s="17"/>
      <c r="G205" s="14" t="s">
        <v>111</v>
      </c>
      <c r="H205" s="14" t="s">
        <v>112</v>
      </c>
    </row>
    <row r="206" spans="1:8" ht="25.5" x14ac:dyDescent="0.2">
      <c r="A206" s="14">
        <v>178</v>
      </c>
      <c r="B206" s="16" t="s">
        <v>573</v>
      </c>
      <c r="C206" s="50" t="s">
        <v>574</v>
      </c>
      <c r="D206" s="50" t="s">
        <v>575</v>
      </c>
      <c r="E206" s="24" t="s">
        <v>8</v>
      </c>
      <c r="F206" s="17" t="s">
        <v>576</v>
      </c>
      <c r="G206" s="14" t="s">
        <v>111</v>
      </c>
      <c r="H206" s="14" t="s">
        <v>112</v>
      </c>
    </row>
    <row r="207" spans="1:8" ht="41.25" customHeight="1" x14ac:dyDescent="0.2">
      <c r="A207" s="14">
        <v>179</v>
      </c>
      <c r="B207" s="16" t="s">
        <v>577</v>
      </c>
      <c r="C207" s="50"/>
      <c r="D207" s="50"/>
      <c r="E207" s="24" t="s">
        <v>8</v>
      </c>
      <c r="F207" s="17" t="s">
        <v>576</v>
      </c>
      <c r="G207" s="14" t="s">
        <v>111</v>
      </c>
      <c r="H207" s="14" t="s">
        <v>112</v>
      </c>
    </row>
    <row r="208" spans="1:8" ht="50.25" customHeight="1" x14ac:dyDescent="0.2">
      <c r="A208" s="14">
        <v>180</v>
      </c>
      <c r="B208" s="16" t="s">
        <v>578</v>
      </c>
      <c r="C208" s="17" t="s">
        <v>579</v>
      </c>
      <c r="D208" s="17" t="s">
        <v>580</v>
      </c>
      <c r="E208" s="24" t="s">
        <v>8</v>
      </c>
      <c r="F208" s="17" t="s">
        <v>576</v>
      </c>
      <c r="G208" s="14" t="s">
        <v>544</v>
      </c>
      <c r="H208" s="14" t="s">
        <v>112</v>
      </c>
    </row>
    <row r="209" spans="1:8" ht="25.5" x14ac:dyDescent="0.2">
      <c r="A209" s="14">
        <v>181</v>
      </c>
      <c r="B209" s="16" t="s">
        <v>581</v>
      </c>
      <c r="C209" s="50" t="s">
        <v>582</v>
      </c>
      <c r="D209" s="50" t="s">
        <v>583</v>
      </c>
      <c r="E209" s="24" t="s">
        <v>8</v>
      </c>
      <c r="F209" s="17" t="s">
        <v>566</v>
      </c>
      <c r="G209" s="14" t="s">
        <v>111</v>
      </c>
      <c r="H209" s="14" t="s">
        <v>112</v>
      </c>
    </row>
    <row r="210" spans="1:8" ht="25.5" x14ac:dyDescent="0.2">
      <c r="A210" s="14">
        <v>182</v>
      </c>
      <c r="B210" s="16" t="s">
        <v>584</v>
      </c>
      <c r="C210" s="50"/>
      <c r="D210" s="50"/>
      <c r="E210" s="24" t="s">
        <v>8</v>
      </c>
      <c r="F210" s="17" t="s">
        <v>566</v>
      </c>
      <c r="G210" s="14" t="s">
        <v>111</v>
      </c>
      <c r="H210" s="14" t="s">
        <v>112</v>
      </c>
    </row>
    <row r="211" spans="1:8" ht="30.75" customHeight="1" x14ac:dyDescent="0.2">
      <c r="A211" s="13" t="s">
        <v>585</v>
      </c>
      <c r="B211" s="9" t="s">
        <v>586</v>
      </c>
      <c r="C211" s="8">
        <f>COUNTA(C212:C218)</f>
        <v>3</v>
      </c>
      <c r="D211" s="8"/>
      <c r="E211" s="8">
        <f>COUNTA(E212:E218)</f>
        <v>7</v>
      </c>
      <c r="F211" s="17"/>
      <c r="G211" s="14" t="s">
        <v>111</v>
      </c>
      <c r="H211" s="14" t="s">
        <v>112</v>
      </c>
    </row>
    <row r="212" spans="1:8" ht="51" customHeight="1" x14ac:dyDescent="0.2">
      <c r="A212" s="14">
        <v>183</v>
      </c>
      <c r="B212" s="16" t="s">
        <v>587</v>
      </c>
      <c r="C212" s="50" t="s">
        <v>588</v>
      </c>
      <c r="D212" s="50" t="s">
        <v>589</v>
      </c>
      <c r="E212" s="24" t="s">
        <v>8</v>
      </c>
      <c r="F212" s="17" t="s">
        <v>576</v>
      </c>
      <c r="G212" s="14" t="s">
        <v>111</v>
      </c>
      <c r="H212" s="14" t="s">
        <v>112</v>
      </c>
    </row>
    <row r="213" spans="1:8" ht="48.75" customHeight="1" x14ac:dyDescent="0.2">
      <c r="A213" s="14">
        <v>184</v>
      </c>
      <c r="B213" s="16" t="s">
        <v>590</v>
      </c>
      <c r="C213" s="50"/>
      <c r="D213" s="50"/>
      <c r="E213" s="24" t="s">
        <v>8</v>
      </c>
      <c r="F213" s="17" t="s">
        <v>576</v>
      </c>
      <c r="G213" s="14" t="s">
        <v>111</v>
      </c>
      <c r="H213" s="14" t="s">
        <v>112</v>
      </c>
    </row>
    <row r="214" spans="1:8" ht="25.5" x14ac:dyDescent="0.2">
      <c r="A214" s="14">
        <v>185</v>
      </c>
      <c r="B214" s="16" t="s">
        <v>591</v>
      </c>
      <c r="C214" s="50" t="s">
        <v>592</v>
      </c>
      <c r="D214" s="50" t="s">
        <v>593</v>
      </c>
      <c r="E214" s="24" t="s">
        <v>8</v>
      </c>
      <c r="F214" s="17" t="s">
        <v>551</v>
      </c>
      <c r="G214" s="14" t="s">
        <v>111</v>
      </c>
      <c r="H214" s="14" t="s">
        <v>112</v>
      </c>
    </row>
    <row r="215" spans="1:8" ht="25.5" x14ac:dyDescent="0.2">
      <c r="A215" s="14">
        <v>186</v>
      </c>
      <c r="B215" s="16" t="s">
        <v>594</v>
      </c>
      <c r="C215" s="50"/>
      <c r="D215" s="50"/>
      <c r="E215" s="24" t="s">
        <v>8</v>
      </c>
      <c r="F215" s="17" t="s">
        <v>551</v>
      </c>
      <c r="G215" s="14" t="s">
        <v>111</v>
      </c>
      <c r="H215" s="14" t="s">
        <v>112</v>
      </c>
    </row>
    <row r="216" spans="1:8" ht="25.5" x14ac:dyDescent="0.2">
      <c r="A216" s="14">
        <v>187</v>
      </c>
      <c r="B216" s="16" t="s">
        <v>595</v>
      </c>
      <c r="C216" s="50"/>
      <c r="D216" s="50"/>
      <c r="E216" s="24" t="s">
        <v>8</v>
      </c>
      <c r="F216" s="17" t="s">
        <v>551</v>
      </c>
      <c r="G216" s="14" t="s">
        <v>111</v>
      </c>
      <c r="H216" s="14" t="s">
        <v>112</v>
      </c>
    </row>
    <row r="217" spans="1:8" ht="58.5" customHeight="1" x14ac:dyDescent="0.2">
      <c r="A217" s="14">
        <v>188</v>
      </c>
      <c r="B217" s="16" t="s">
        <v>596</v>
      </c>
      <c r="C217" s="50" t="s">
        <v>597</v>
      </c>
      <c r="D217" s="50" t="s">
        <v>598</v>
      </c>
      <c r="E217" s="24" t="s">
        <v>8</v>
      </c>
      <c r="F217" s="17" t="s">
        <v>543</v>
      </c>
      <c r="G217" s="14" t="s">
        <v>111</v>
      </c>
      <c r="H217" s="14" t="s">
        <v>112</v>
      </c>
    </row>
    <row r="218" spans="1:8" ht="57" customHeight="1" x14ac:dyDescent="0.2">
      <c r="A218" s="14">
        <v>189</v>
      </c>
      <c r="B218" s="16" t="s">
        <v>599</v>
      </c>
      <c r="C218" s="50"/>
      <c r="D218" s="50"/>
      <c r="E218" s="24" t="s">
        <v>8</v>
      </c>
      <c r="F218" s="17" t="s">
        <v>543</v>
      </c>
      <c r="G218" s="14" t="s">
        <v>111</v>
      </c>
      <c r="H218" s="14" t="s">
        <v>112</v>
      </c>
    </row>
    <row r="219" spans="1:8" ht="30.75" customHeight="1" x14ac:dyDescent="0.2">
      <c r="A219" s="13" t="s">
        <v>600</v>
      </c>
      <c r="B219" s="9" t="s">
        <v>601</v>
      </c>
      <c r="C219" s="8">
        <f>COUNTA(C220)</f>
        <v>1</v>
      </c>
      <c r="D219" s="8"/>
      <c r="E219" s="8">
        <f>COUNTA(E220)</f>
        <v>1</v>
      </c>
      <c r="F219" s="17"/>
      <c r="G219" s="14" t="s">
        <v>111</v>
      </c>
      <c r="H219" s="14" t="s">
        <v>112</v>
      </c>
    </row>
    <row r="220" spans="1:8" ht="60" customHeight="1" x14ac:dyDescent="0.2">
      <c r="A220" s="14">
        <v>190</v>
      </c>
      <c r="B220" s="16" t="s">
        <v>602</v>
      </c>
      <c r="C220" s="17" t="s">
        <v>603</v>
      </c>
      <c r="D220" s="17" t="s">
        <v>604</v>
      </c>
      <c r="E220" s="24" t="s">
        <v>8</v>
      </c>
      <c r="F220" s="17" t="s">
        <v>576</v>
      </c>
      <c r="G220" s="14" t="s">
        <v>111</v>
      </c>
      <c r="H220" s="14" t="s">
        <v>112</v>
      </c>
    </row>
    <row r="221" spans="1:8" ht="30.75" customHeight="1" x14ac:dyDescent="0.2">
      <c r="A221" s="13" t="s">
        <v>605</v>
      </c>
      <c r="B221" s="9" t="s">
        <v>606</v>
      </c>
      <c r="C221" s="8">
        <f>COUNTA(C222:C226)</f>
        <v>4</v>
      </c>
      <c r="D221" s="8"/>
      <c r="E221" s="8">
        <f>COUNTA(E222:E226)</f>
        <v>5</v>
      </c>
      <c r="F221" s="17"/>
      <c r="G221" s="14" t="s">
        <v>111</v>
      </c>
      <c r="H221" s="14" t="s">
        <v>112</v>
      </c>
    </row>
    <row r="222" spans="1:8" ht="25.5" x14ac:dyDescent="0.2">
      <c r="A222" s="14">
        <v>191</v>
      </c>
      <c r="B222" s="16" t="s">
        <v>607</v>
      </c>
      <c r="C222" s="17" t="s">
        <v>608</v>
      </c>
      <c r="D222" s="17" t="s">
        <v>609</v>
      </c>
      <c r="E222" s="24" t="s">
        <v>8</v>
      </c>
      <c r="F222" s="17" t="s">
        <v>610</v>
      </c>
      <c r="G222" s="14" t="s">
        <v>111</v>
      </c>
      <c r="H222" s="14" t="s">
        <v>112</v>
      </c>
    </row>
    <row r="223" spans="1:8" ht="56.25" customHeight="1" x14ac:dyDescent="0.2">
      <c r="A223" s="14">
        <v>192</v>
      </c>
      <c r="B223" s="16" t="s">
        <v>611</v>
      </c>
      <c r="C223" s="50" t="s">
        <v>612</v>
      </c>
      <c r="D223" s="50" t="s">
        <v>613</v>
      </c>
      <c r="E223" s="24" t="s">
        <v>8</v>
      </c>
      <c r="F223" s="17" t="s">
        <v>610</v>
      </c>
      <c r="G223" s="14" t="s">
        <v>111</v>
      </c>
      <c r="H223" s="14" t="s">
        <v>112</v>
      </c>
    </row>
    <row r="224" spans="1:8" ht="25.5" x14ac:dyDescent="0.2">
      <c r="A224" s="14">
        <v>193</v>
      </c>
      <c r="B224" s="16" t="s">
        <v>614</v>
      </c>
      <c r="C224" s="50"/>
      <c r="D224" s="50"/>
      <c r="E224" s="24" t="s">
        <v>8</v>
      </c>
      <c r="F224" s="17" t="s">
        <v>610</v>
      </c>
      <c r="G224" s="14" t="s">
        <v>111</v>
      </c>
      <c r="H224" s="14" t="s">
        <v>112</v>
      </c>
    </row>
    <row r="225" spans="1:8" ht="38.25" x14ac:dyDescent="0.2">
      <c r="A225" s="14">
        <v>194</v>
      </c>
      <c r="B225" s="16" t="s">
        <v>615</v>
      </c>
      <c r="C225" s="17" t="s">
        <v>616</v>
      </c>
      <c r="D225" s="17" t="s">
        <v>617</v>
      </c>
      <c r="E225" s="24" t="s">
        <v>8</v>
      </c>
      <c r="F225" s="17" t="s">
        <v>618</v>
      </c>
      <c r="G225" s="14" t="s">
        <v>111</v>
      </c>
      <c r="H225" s="14" t="s">
        <v>112</v>
      </c>
    </row>
    <row r="226" spans="1:8" ht="25.5" x14ac:dyDescent="0.2">
      <c r="A226" s="14">
        <v>195</v>
      </c>
      <c r="B226" s="16" t="s">
        <v>619</v>
      </c>
      <c r="C226" s="17" t="s">
        <v>620</v>
      </c>
      <c r="D226" s="17" t="s">
        <v>621</v>
      </c>
      <c r="E226" s="24" t="s">
        <v>8</v>
      </c>
      <c r="F226" s="17" t="s">
        <v>622</v>
      </c>
      <c r="G226" s="14" t="s">
        <v>111</v>
      </c>
      <c r="H226" s="14" t="s">
        <v>112</v>
      </c>
    </row>
    <row r="227" spans="1:8" ht="30.75" customHeight="1" x14ac:dyDescent="0.2">
      <c r="A227" s="13" t="s">
        <v>623</v>
      </c>
      <c r="B227" s="9" t="s">
        <v>624</v>
      </c>
      <c r="C227" s="8">
        <f>COUNTA(C228:C230)</f>
        <v>2</v>
      </c>
      <c r="D227" s="8"/>
      <c r="E227" s="8">
        <f>COUNTA(E228:E230)</f>
        <v>3</v>
      </c>
      <c r="F227" s="17"/>
      <c r="G227" s="14" t="s">
        <v>111</v>
      </c>
      <c r="H227" s="14" t="s">
        <v>112</v>
      </c>
    </row>
    <row r="228" spans="1:8" ht="25.5" x14ac:dyDescent="0.2">
      <c r="A228" s="14">
        <v>196</v>
      </c>
      <c r="B228" s="16" t="s">
        <v>625</v>
      </c>
      <c r="C228" s="50" t="s">
        <v>626</v>
      </c>
      <c r="D228" s="50" t="s">
        <v>627</v>
      </c>
      <c r="E228" s="24" t="s">
        <v>8</v>
      </c>
      <c r="F228" s="17" t="s">
        <v>622</v>
      </c>
      <c r="G228" s="14" t="s">
        <v>111</v>
      </c>
      <c r="H228" s="14" t="s">
        <v>112</v>
      </c>
    </row>
    <row r="229" spans="1:8" ht="25.5" x14ac:dyDescent="0.2">
      <c r="A229" s="14">
        <v>197</v>
      </c>
      <c r="B229" s="16" t="s">
        <v>628</v>
      </c>
      <c r="C229" s="50"/>
      <c r="D229" s="50"/>
      <c r="E229" s="24" t="s">
        <v>8</v>
      </c>
      <c r="F229" s="17" t="s">
        <v>622</v>
      </c>
      <c r="G229" s="14" t="s">
        <v>111</v>
      </c>
      <c r="H229" s="14" t="s">
        <v>112</v>
      </c>
    </row>
    <row r="230" spans="1:8" ht="45" customHeight="1" x14ac:dyDescent="0.2">
      <c r="A230" s="14">
        <v>198</v>
      </c>
      <c r="B230" s="16" t="s">
        <v>629</v>
      </c>
      <c r="C230" s="17" t="s">
        <v>630</v>
      </c>
      <c r="D230" s="17" t="s">
        <v>631</v>
      </c>
      <c r="E230" s="24" t="s">
        <v>8</v>
      </c>
      <c r="F230" s="17" t="s">
        <v>622</v>
      </c>
      <c r="G230" s="14" t="s">
        <v>111</v>
      </c>
      <c r="H230" s="14" t="s">
        <v>112</v>
      </c>
    </row>
    <row r="231" spans="1:8" ht="30.75" customHeight="1" x14ac:dyDescent="0.2">
      <c r="A231" s="13" t="s">
        <v>632</v>
      </c>
      <c r="B231" s="9" t="s">
        <v>633</v>
      </c>
      <c r="C231" s="8">
        <f>COUNTA(C232:C237)</f>
        <v>4</v>
      </c>
      <c r="D231" s="8"/>
      <c r="E231" s="8">
        <f>COUNTA(E232:E237)</f>
        <v>6</v>
      </c>
      <c r="F231" s="17"/>
      <c r="G231" s="14" t="s">
        <v>111</v>
      </c>
      <c r="H231" s="14" t="s">
        <v>112</v>
      </c>
    </row>
    <row r="232" spans="1:8" ht="48.75" customHeight="1" x14ac:dyDescent="0.2">
      <c r="A232" s="14">
        <v>199</v>
      </c>
      <c r="B232" s="16" t="s">
        <v>634</v>
      </c>
      <c r="C232" s="50" t="s">
        <v>635</v>
      </c>
      <c r="D232" s="50" t="s">
        <v>636</v>
      </c>
      <c r="E232" s="24" t="s">
        <v>8</v>
      </c>
      <c r="F232" s="17" t="s">
        <v>622</v>
      </c>
      <c r="G232" s="14" t="s">
        <v>111</v>
      </c>
      <c r="H232" s="14" t="s">
        <v>112</v>
      </c>
    </row>
    <row r="233" spans="1:8" ht="47.25" customHeight="1" x14ac:dyDescent="0.2">
      <c r="A233" s="14">
        <v>200</v>
      </c>
      <c r="B233" s="16" t="s">
        <v>637</v>
      </c>
      <c r="C233" s="50"/>
      <c r="D233" s="50"/>
      <c r="E233" s="24" t="s">
        <v>8</v>
      </c>
      <c r="F233" s="17" t="s">
        <v>622</v>
      </c>
      <c r="G233" s="14" t="s">
        <v>111</v>
      </c>
      <c r="H233" s="14" t="s">
        <v>112</v>
      </c>
    </row>
    <row r="234" spans="1:8" ht="56.25" customHeight="1" x14ac:dyDescent="0.2">
      <c r="A234" s="14">
        <v>201</v>
      </c>
      <c r="B234" s="16" t="s">
        <v>638</v>
      </c>
      <c r="C234" s="50"/>
      <c r="D234" s="50"/>
      <c r="E234" s="24" t="s">
        <v>8</v>
      </c>
      <c r="F234" s="17" t="s">
        <v>622</v>
      </c>
      <c r="G234" s="14" t="s">
        <v>111</v>
      </c>
      <c r="H234" s="14" t="s">
        <v>112</v>
      </c>
    </row>
    <row r="235" spans="1:8" ht="25.5" x14ac:dyDescent="0.2">
      <c r="A235" s="14">
        <v>202</v>
      </c>
      <c r="B235" s="16" t="s">
        <v>639</v>
      </c>
      <c r="C235" s="17" t="s">
        <v>640</v>
      </c>
      <c r="D235" s="17" t="s">
        <v>641</v>
      </c>
      <c r="E235" s="24" t="s">
        <v>8</v>
      </c>
      <c r="F235" s="17" t="s">
        <v>642</v>
      </c>
      <c r="G235" s="14" t="s">
        <v>111</v>
      </c>
      <c r="H235" s="14" t="s">
        <v>112</v>
      </c>
    </row>
    <row r="236" spans="1:8" ht="25.5" x14ac:dyDescent="0.2">
      <c r="A236" s="14">
        <v>203</v>
      </c>
      <c r="B236" s="16" t="s">
        <v>643</v>
      </c>
      <c r="C236" s="17" t="s">
        <v>644</v>
      </c>
      <c r="D236" s="17" t="s">
        <v>645</v>
      </c>
      <c r="E236" s="24" t="s">
        <v>8</v>
      </c>
      <c r="F236" s="17" t="s">
        <v>622</v>
      </c>
      <c r="G236" s="14" t="s">
        <v>111</v>
      </c>
      <c r="H236" s="14" t="s">
        <v>112</v>
      </c>
    </row>
    <row r="237" spans="1:8" ht="25.5" x14ac:dyDescent="0.2">
      <c r="A237" s="14">
        <v>204</v>
      </c>
      <c r="B237" s="16" t="s">
        <v>646</v>
      </c>
      <c r="C237" s="17" t="s">
        <v>647</v>
      </c>
      <c r="D237" s="17" t="s">
        <v>648</v>
      </c>
      <c r="E237" s="24" t="s">
        <v>8</v>
      </c>
      <c r="F237" s="17" t="s">
        <v>622</v>
      </c>
      <c r="G237" s="14" t="s">
        <v>111</v>
      </c>
      <c r="H237" s="14" t="s">
        <v>112</v>
      </c>
    </row>
    <row r="238" spans="1:8" ht="30.75" customHeight="1" x14ac:dyDescent="0.2">
      <c r="A238" s="13" t="s">
        <v>649</v>
      </c>
      <c r="B238" s="9" t="s">
        <v>650</v>
      </c>
      <c r="C238" s="8">
        <f>COUNTA(C239:C255)</f>
        <v>8</v>
      </c>
      <c r="D238" s="8"/>
      <c r="E238" s="8">
        <f>COUNTA(E239:E255)</f>
        <v>17</v>
      </c>
      <c r="F238" s="17"/>
      <c r="G238" s="14" t="s">
        <v>111</v>
      </c>
      <c r="H238" s="14" t="s">
        <v>112</v>
      </c>
    </row>
    <row r="239" spans="1:8" ht="30.75" customHeight="1" x14ac:dyDescent="0.2">
      <c r="A239" s="14">
        <v>205</v>
      </c>
      <c r="B239" s="16" t="s">
        <v>651</v>
      </c>
      <c r="C239" s="17" t="s">
        <v>652</v>
      </c>
      <c r="D239" s="17" t="s">
        <v>653</v>
      </c>
      <c r="E239" s="24" t="s">
        <v>8</v>
      </c>
      <c r="F239" s="17" t="s">
        <v>654</v>
      </c>
      <c r="G239" s="14" t="s">
        <v>111</v>
      </c>
      <c r="H239" s="14" t="s">
        <v>112</v>
      </c>
    </row>
    <row r="240" spans="1:8" ht="30.75" customHeight="1" x14ac:dyDescent="0.2">
      <c r="A240" s="14">
        <v>206</v>
      </c>
      <c r="B240" s="16" t="s">
        <v>655</v>
      </c>
      <c r="C240" s="50" t="s">
        <v>656</v>
      </c>
      <c r="D240" s="50" t="s">
        <v>657</v>
      </c>
      <c r="E240" s="24" t="s">
        <v>8</v>
      </c>
      <c r="F240" s="17" t="s">
        <v>658</v>
      </c>
      <c r="G240" s="14" t="s">
        <v>111</v>
      </c>
      <c r="H240" s="14" t="s">
        <v>112</v>
      </c>
    </row>
    <row r="241" spans="1:8" ht="30.75" customHeight="1" x14ac:dyDescent="0.2">
      <c r="A241" s="14">
        <v>207</v>
      </c>
      <c r="B241" s="9" t="s">
        <v>659</v>
      </c>
      <c r="C241" s="50"/>
      <c r="D241" s="50"/>
      <c r="E241" s="8" t="s">
        <v>7</v>
      </c>
      <c r="F241" s="10" t="s">
        <v>114</v>
      </c>
      <c r="G241" s="14" t="s">
        <v>111</v>
      </c>
      <c r="H241" s="14" t="s">
        <v>112</v>
      </c>
    </row>
    <row r="242" spans="1:8" ht="30.75" customHeight="1" x14ac:dyDescent="0.2">
      <c r="A242" s="14">
        <v>208</v>
      </c>
      <c r="B242" s="16" t="s">
        <v>660</v>
      </c>
      <c r="C242" s="50"/>
      <c r="D242" s="50"/>
      <c r="E242" s="24" t="s">
        <v>8</v>
      </c>
      <c r="F242" s="17" t="s">
        <v>661</v>
      </c>
      <c r="G242" s="14" t="s">
        <v>111</v>
      </c>
      <c r="H242" s="14" t="s">
        <v>112</v>
      </c>
    </row>
    <row r="243" spans="1:8" ht="30.75" customHeight="1" x14ac:dyDescent="0.2">
      <c r="A243" s="14">
        <v>209</v>
      </c>
      <c r="B243" s="16" t="s">
        <v>662</v>
      </c>
      <c r="C243" s="50"/>
      <c r="D243" s="50"/>
      <c r="E243" s="24" t="s">
        <v>8</v>
      </c>
      <c r="F243" s="17" t="s">
        <v>661</v>
      </c>
      <c r="G243" s="14" t="s">
        <v>111</v>
      </c>
      <c r="H243" s="14" t="s">
        <v>112</v>
      </c>
    </row>
    <row r="244" spans="1:8" ht="30.75" customHeight="1" x14ac:dyDescent="0.2">
      <c r="A244" s="14">
        <v>210</v>
      </c>
      <c r="B244" s="16" t="s">
        <v>663</v>
      </c>
      <c r="C244" s="50"/>
      <c r="D244" s="50"/>
      <c r="E244" s="24" t="s">
        <v>8</v>
      </c>
      <c r="F244" s="17" t="s">
        <v>661</v>
      </c>
      <c r="G244" s="14" t="s">
        <v>111</v>
      </c>
      <c r="H244" s="14" t="s">
        <v>112</v>
      </c>
    </row>
    <row r="245" spans="1:8" ht="30.75" customHeight="1" x14ac:dyDescent="0.2">
      <c r="A245" s="14">
        <v>211</v>
      </c>
      <c r="B245" s="16" t="s">
        <v>664</v>
      </c>
      <c r="C245" s="50"/>
      <c r="D245" s="50"/>
      <c r="E245" s="24" t="s">
        <v>8</v>
      </c>
      <c r="F245" s="17" t="s">
        <v>661</v>
      </c>
      <c r="G245" s="14" t="s">
        <v>111</v>
      </c>
      <c r="H245" s="14" t="s">
        <v>112</v>
      </c>
    </row>
    <row r="246" spans="1:8" ht="30.75" customHeight="1" x14ac:dyDescent="0.2">
      <c r="A246" s="14">
        <v>212</v>
      </c>
      <c r="B246" s="16" t="s">
        <v>665</v>
      </c>
      <c r="C246" s="50"/>
      <c r="D246" s="50"/>
      <c r="E246" s="24" t="s">
        <v>8</v>
      </c>
      <c r="F246" s="17" t="s">
        <v>661</v>
      </c>
      <c r="G246" s="14" t="s">
        <v>111</v>
      </c>
      <c r="H246" s="14" t="s">
        <v>112</v>
      </c>
    </row>
    <row r="247" spans="1:8" ht="30.75" customHeight="1" x14ac:dyDescent="0.2">
      <c r="A247" s="14">
        <v>213</v>
      </c>
      <c r="B247" s="16" t="s">
        <v>666</v>
      </c>
      <c r="C247" s="50"/>
      <c r="D247" s="50"/>
      <c r="E247" s="24" t="s">
        <v>8</v>
      </c>
      <c r="F247" s="17" t="s">
        <v>661</v>
      </c>
      <c r="G247" s="14" t="s">
        <v>111</v>
      </c>
      <c r="H247" s="14" t="s">
        <v>112</v>
      </c>
    </row>
    <row r="248" spans="1:8" ht="30.75" customHeight="1" x14ac:dyDescent="0.2">
      <c r="A248" s="14">
        <v>214</v>
      </c>
      <c r="B248" s="16" t="s">
        <v>667</v>
      </c>
      <c r="C248" s="17" t="s">
        <v>668</v>
      </c>
      <c r="D248" s="17" t="s">
        <v>669</v>
      </c>
      <c r="E248" s="24" t="s">
        <v>8</v>
      </c>
      <c r="F248" s="17" t="s">
        <v>670</v>
      </c>
      <c r="G248" s="14" t="s">
        <v>111</v>
      </c>
      <c r="H248" s="14" t="s">
        <v>112</v>
      </c>
    </row>
    <row r="249" spans="1:8" ht="30.75" customHeight="1" x14ac:dyDescent="0.2">
      <c r="A249" s="14">
        <v>215</v>
      </c>
      <c r="B249" s="16" t="s">
        <v>671</v>
      </c>
      <c r="C249" s="17" t="s">
        <v>672</v>
      </c>
      <c r="D249" s="17" t="s">
        <v>673</v>
      </c>
      <c r="E249" s="24" t="s">
        <v>8</v>
      </c>
      <c r="F249" s="17" t="s">
        <v>654</v>
      </c>
      <c r="G249" s="14" t="s">
        <v>111</v>
      </c>
      <c r="H249" s="14" t="s">
        <v>112</v>
      </c>
    </row>
    <row r="250" spans="1:8" ht="25.5" x14ac:dyDescent="0.2">
      <c r="A250" s="14">
        <v>216</v>
      </c>
      <c r="B250" s="16" t="s">
        <v>674</v>
      </c>
      <c r="C250" s="50" t="s">
        <v>675</v>
      </c>
      <c r="D250" s="50" t="s">
        <v>676</v>
      </c>
      <c r="E250" s="24" t="s">
        <v>8</v>
      </c>
      <c r="F250" s="17" t="s">
        <v>658</v>
      </c>
      <c r="G250" s="14" t="s">
        <v>111</v>
      </c>
      <c r="H250" s="14" t="s">
        <v>112</v>
      </c>
    </row>
    <row r="251" spans="1:8" ht="25.5" x14ac:dyDescent="0.2">
      <c r="A251" s="14">
        <v>217</v>
      </c>
      <c r="B251" s="16" t="s">
        <v>677</v>
      </c>
      <c r="C251" s="50"/>
      <c r="D251" s="50"/>
      <c r="E251" s="24" t="s">
        <v>8</v>
      </c>
      <c r="F251" s="17" t="s">
        <v>661</v>
      </c>
      <c r="G251" s="14" t="s">
        <v>111</v>
      </c>
      <c r="H251" s="14" t="s">
        <v>112</v>
      </c>
    </row>
    <row r="252" spans="1:8" ht="58.5" customHeight="1" x14ac:dyDescent="0.2">
      <c r="A252" s="14">
        <v>218</v>
      </c>
      <c r="B252" s="16" t="s">
        <v>678</v>
      </c>
      <c r="C252" s="50"/>
      <c r="D252" s="50"/>
      <c r="E252" s="24" t="s">
        <v>8</v>
      </c>
      <c r="F252" s="17" t="s">
        <v>661</v>
      </c>
      <c r="G252" s="14" t="s">
        <v>111</v>
      </c>
      <c r="H252" s="14" t="s">
        <v>112</v>
      </c>
    </row>
    <row r="253" spans="1:8" ht="25.5" x14ac:dyDescent="0.2">
      <c r="A253" s="14">
        <v>219</v>
      </c>
      <c r="B253" s="16" t="s">
        <v>679</v>
      </c>
      <c r="C253" s="17" t="s">
        <v>680</v>
      </c>
      <c r="D253" s="17" t="s">
        <v>681</v>
      </c>
      <c r="E253" s="24" t="s">
        <v>8</v>
      </c>
      <c r="F253" s="17" t="s">
        <v>682</v>
      </c>
      <c r="G253" s="14" t="s">
        <v>364</v>
      </c>
      <c r="H253" s="14" t="s">
        <v>112</v>
      </c>
    </row>
    <row r="254" spans="1:8" ht="25.5" x14ac:dyDescent="0.2">
      <c r="A254" s="14">
        <v>220</v>
      </c>
      <c r="B254" s="16" t="s">
        <v>683</v>
      </c>
      <c r="C254" s="17" t="s">
        <v>684</v>
      </c>
      <c r="D254" s="17" t="s">
        <v>685</v>
      </c>
      <c r="E254" s="24" t="s">
        <v>8</v>
      </c>
      <c r="F254" s="17" t="s">
        <v>654</v>
      </c>
      <c r="G254" s="14" t="s">
        <v>111</v>
      </c>
      <c r="H254" s="14" t="s">
        <v>112</v>
      </c>
    </row>
    <row r="255" spans="1:8" ht="60" customHeight="1" x14ac:dyDescent="0.2">
      <c r="A255" s="14">
        <v>221</v>
      </c>
      <c r="B255" s="16" t="s">
        <v>686</v>
      </c>
      <c r="C255" s="17" t="s">
        <v>687</v>
      </c>
      <c r="D255" s="17" t="s">
        <v>688</v>
      </c>
      <c r="E255" s="24" t="s">
        <v>8</v>
      </c>
      <c r="F255" s="17" t="s">
        <v>658</v>
      </c>
      <c r="G255" s="14" t="s">
        <v>111</v>
      </c>
      <c r="H255" s="14" t="s">
        <v>112</v>
      </c>
    </row>
    <row r="256" spans="1:8" ht="30.75" customHeight="1" x14ac:dyDescent="0.2">
      <c r="A256" s="13" t="s">
        <v>689</v>
      </c>
      <c r="B256" s="9" t="s">
        <v>690</v>
      </c>
      <c r="C256" s="8">
        <f>COUNTA(C257:C264)</f>
        <v>6</v>
      </c>
      <c r="D256" s="8"/>
      <c r="E256" s="8">
        <f>COUNTA(E257:E264)</f>
        <v>8</v>
      </c>
      <c r="F256" s="17"/>
      <c r="G256" s="14" t="s">
        <v>111</v>
      </c>
      <c r="H256" s="14" t="s">
        <v>112</v>
      </c>
    </row>
    <row r="257" spans="1:8" ht="57.75" customHeight="1" x14ac:dyDescent="0.2">
      <c r="A257" s="14">
        <v>222</v>
      </c>
      <c r="B257" s="16" t="s">
        <v>691</v>
      </c>
      <c r="C257" s="17" t="s">
        <v>692</v>
      </c>
      <c r="D257" s="17" t="s">
        <v>693</v>
      </c>
      <c r="E257" s="24" t="s">
        <v>8</v>
      </c>
      <c r="F257" s="17" t="s">
        <v>694</v>
      </c>
      <c r="G257" s="14" t="s">
        <v>353</v>
      </c>
      <c r="H257" s="14" t="s">
        <v>112</v>
      </c>
    </row>
    <row r="258" spans="1:8" ht="56.25" customHeight="1" x14ac:dyDescent="0.2">
      <c r="A258" s="14">
        <v>223</v>
      </c>
      <c r="B258" s="16" t="s">
        <v>695</v>
      </c>
      <c r="C258" s="50" t="s">
        <v>696</v>
      </c>
      <c r="D258" s="50" t="s">
        <v>697</v>
      </c>
      <c r="E258" s="24" t="s">
        <v>8</v>
      </c>
      <c r="F258" s="17" t="s">
        <v>658</v>
      </c>
      <c r="G258" s="14" t="s">
        <v>111</v>
      </c>
      <c r="H258" s="14" t="s">
        <v>112</v>
      </c>
    </row>
    <row r="259" spans="1:8" ht="25.5" x14ac:dyDescent="0.2">
      <c r="A259" s="14">
        <v>224</v>
      </c>
      <c r="B259" s="16" t="s">
        <v>698</v>
      </c>
      <c r="C259" s="50"/>
      <c r="D259" s="50"/>
      <c r="E259" s="24" t="s">
        <v>8</v>
      </c>
      <c r="F259" s="17" t="s">
        <v>658</v>
      </c>
      <c r="G259" s="14" t="s">
        <v>111</v>
      </c>
      <c r="H259" s="14" t="s">
        <v>112</v>
      </c>
    </row>
    <row r="260" spans="1:8" ht="55.5" customHeight="1" x14ac:dyDescent="0.2">
      <c r="A260" s="14">
        <v>225</v>
      </c>
      <c r="B260" s="16" t="s">
        <v>699</v>
      </c>
      <c r="C260" s="50" t="s">
        <v>263</v>
      </c>
      <c r="D260" s="50" t="s">
        <v>700</v>
      </c>
      <c r="E260" s="24" t="s">
        <v>8</v>
      </c>
      <c r="F260" s="17" t="s">
        <v>654</v>
      </c>
      <c r="G260" s="14" t="s">
        <v>111</v>
      </c>
      <c r="H260" s="14" t="s">
        <v>112</v>
      </c>
    </row>
    <row r="261" spans="1:8" ht="25.5" x14ac:dyDescent="0.2">
      <c r="A261" s="14">
        <v>226</v>
      </c>
      <c r="B261" s="16" t="s">
        <v>701</v>
      </c>
      <c r="C261" s="50"/>
      <c r="D261" s="50"/>
      <c r="E261" s="14" t="s">
        <v>8</v>
      </c>
      <c r="F261" s="17" t="s">
        <v>670</v>
      </c>
      <c r="G261" s="14" t="s">
        <v>111</v>
      </c>
      <c r="H261" s="14" t="s">
        <v>112</v>
      </c>
    </row>
    <row r="262" spans="1:8" ht="74.25" customHeight="1" x14ac:dyDescent="0.2">
      <c r="A262" s="14">
        <v>227</v>
      </c>
      <c r="B262" s="16" t="s">
        <v>702</v>
      </c>
      <c r="C262" s="17" t="s">
        <v>703</v>
      </c>
      <c r="D262" s="17" t="s">
        <v>704</v>
      </c>
      <c r="E262" s="14" t="s">
        <v>8</v>
      </c>
      <c r="F262" s="17" t="s">
        <v>694</v>
      </c>
      <c r="G262" s="14" t="s">
        <v>111</v>
      </c>
      <c r="H262" s="14" t="s">
        <v>112</v>
      </c>
    </row>
    <row r="263" spans="1:8" ht="25.5" x14ac:dyDescent="0.2">
      <c r="A263" s="14">
        <v>228</v>
      </c>
      <c r="B263" s="16" t="s">
        <v>705</v>
      </c>
      <c r="C263" s="17" t="s">
        <v>706</v>
      </c>
      <c r="D263" s="17" t="s">
        <v>707</v>
      </c>
      <c r="E263" s="14" t="s">
        <v>8</v>
      </c>
      <c r="F263" s="17" t="s">
        <v>658</v>
      </c>
      <c r="G263" s="14" t="s">
        <v>111</v>
      </c>
      <c r="H263" s="14" t="s">
        <v>112</v>
      </c>
    </row>
    <row r="264" spans="1:8" ht="61.5" customHeight="1" x14ac:dyDescent="0.2">
      <c r="A264" s="14">
        <v>229</v>
      </c>
      <c r="B264" s="16" t="s">
        <v>708</v>
      </c>
      <c r="C264" s="17" t="s">
        <v>709</v>
      </c>
      <c r="D264" s="17" t="s">
        <v>710</v>
      </c>
      <c r="E264" s="14" t="s">
        <v>8</v>
      </c>
      <c r="F264" s="17" t="s">
        <v>711</v>
      </c>
      <c r="G264" s="14" t="s">
        <v>111</v>
      </c>
      <c r="H264" s="14" t="s">
        <v>112</v>
      </c>
    </row>
    <row r="265" spans="1:8" ht="30.75" customHeight="1" x14ac:dyDescent="0.2">
      <c r="A265" s="13" t="s">
        <v>712</v>
      </c>
      <c r="B265" s="9" t="s">
        <v>713</v>
      </c>
      <c r="C265" s="8">
        <f>COUNTA(C266:C275)</f>
        <v>4</v>
      </c>
      <c r="D265" s="8"/>
      <c r="E265" s="8">
        <f>COUNTA(E266:E275)</f>
        <v>10</v>
      </c>
      <c r="F265" s="17"/>
      <c r="G265" s="14" t="s">
        <v>111</v>
      </c>
      <c r="H265" s="14" t="s">
        <v>112</v>
      </c>
    </row>
    <row r="266" spans="1:8" ht="25.5" x14ac:dyDescent="0.2">
      <c r="A266" s="14">
        <v>230</v>
      </c>
      <c r="B266" s="16" t="s">
        <v>714</v>
      </c>
      <c r="C266" s="50" t="s">
        <v>715</v>
      </c>
      <c r="D266" s="50" t="s">
        <v>716</v>
      </c>
      <c r="E266" s="14" t="s">
        <v>8</v>
      </c>
      <c r="F266" s="17" t="s">
        <v>711</v>
      </c>
      <c r="G266" s="14" t="s">
        <v>111</v>
      </c>
      <c r="H266" s="14" t="s">
        <v>112</v>
      </c>
    </row>
    <row r="267" spans="1:8" ht="25.5" x14ac:dyDescent="0.2">
      <c r="A267" s="14">
        <v>231</v>
      </c>
      <c r="B267" s="16" t="s">
        <v>717</v>
      </c>
      <c r="C267" s="50"/>
      <c r="D267" s="50"/>
      <c r="E267" s="14" t="s">
        <v>8</v>
      </c>
      <c r="F267" s="17" t="s">
        <v>711</v>
      </c>
      <c r="G267" s="14" t="s">
        <v>111</v>
      </c>
      <c r="H267" s="14" t="s">
        <v>112</v>
      </c>
    </row>
    <row r="268" spans="1:8" ht="49.5" customHeight="1" x14ac:dyDescent="0.2">
      <c r="A268" s="14">
        <v>232</v>
      </c>
      <c r="B268" s="16" t="s">
        <v>718</v>
      </c>
      <c r="C268" s="50"/>
      <c r="D268" s="50"/>
      <c r="E268" s="14" t="s">
        <v>8</v>
      </c>
      <c r="F268" s="17" t="s">
        <v>694</v>
      </c>
      <c r="G268" s="14" t="s">
        <v>111</v>
      </c>
      <c r="H268" s="14" t="s">
        <v>112</v>
      </c>
    </row>
    <row r="269" spans="1:8" ht="25.5" x14ac:dyDescent="0.2">
      <c r="A269" s="14">
        <v>233</v>
      </c>
      <c r="B269" s="16" t="s">
        <v>719</v>
      </c>
      <c r="C269" s="50"/>
      <c r="D269" s="50"/>
      <c r="E269" s="14" t="s">
        <v>8</v>
      </c>
      <c r="F269" s="17" t="s">
        <v>694</v>
      </c>
      <c r="G269" s="14" t="s">
        <v>111</v>
      </c>
      <c r="H269" s="14" t="s">
        <v>112</v>
      </c>
    </row>
    <row r="270" spans="1:8" ht="61.5" customHeight="1" x14ac:dyDescent="0.2">
      <c r="A270" s="14">
        <v>234</v>
      </c>
      <c r="B270" s="16" t="s">
        <v>720</v>
      </c>
      <c r="C270" s="50"/>
      <c r="D270" s="50"/>
      <c r="E270" s="14" t="s">
        <v>8</v>
      </c>
      <c r="F270" s="17" t="s">
        <v>694</v>
      </c>
      <c r="G270" s="14" t="s">
        <v>111</v>
      </c>
      <c r="H270" s="14" t="s">
        <v>112</v>
      </c>
    </row>
    <row r="271" spans="1:8" ht="25.5" x14ac:dyDescent="0.2">
      <c r="A271" s="14">
        <v>235</v>
      </c>
      <c r="B271" s="16" t="s">
        <v>721</v>
      </c>
      <c r="C271" s="50"/>
      <c r="D271" s="50"/>
      <c r="E271" s="14" t="s">
        <v>8</v>
      </c>
      <c r="F271" s="17" t="s">
        <v>694</v>
      </c>
      <c r="G271" s="14" t="s">
        <v>111</v>
      </c>
      <c r="H271" s="14" t="s">
        <v>112</v>
      </c>
    </row>
    <row r="272" spans="1:8" ht="25.5" x14ac:dyDescent="0.2">
      <c r="A272" s="14">
        <v>236</v>
      </c>
      <c r="B272" s="16" t="s">
        <v>722</v>
      </c>
      <c r="C272" s="17" t="s">
        <v>723</v>
      </c>
      <c r="D272" s="17" t="s">
        <v>724</v>
      </c>
      <c r="E272" s="14" t="s">
        <v>8</v>
      </c>
      <c r="F272" s="17" t="s">
        <v>711</v>
      </c>
      <c r="G272" s="14" t="s">
        <v>111</v>
      </c>
      <c r="H272" s="14" t="s">
        <v>112</v>
      </c>
    </row>
    <row r="273" spans="1:8" ht="25.5" x14ac:dyDescent="0.2">
      <c r="A273" s="14">
        <v>237</v>
      </c>
      <c r="B273" s="16" t="s">
        <v>725</v>
      </c>
      <c r="C273" s="50" t="s">
        <v>726</v>
      </c>
      <c r="D273" s="50" t="s">
        <v>727</v>
      </c>
      <c r="E273" s="14" t="s">
        <v>8</v>
      </c>
      <c r="F273" s="17" t="s">
        <v>694</v>
      </c>
      <c r="G273" s="14" t="s">
        <v>111</v>
      </c>
      <c r="H273" s="14" t="s">
        <v>112</v>
      </c>
    </row>
    <row r="274" spans="1:8" ht="25.5" x14ac:dyDescent="0.2">
      <c r="A274" s="14">
        <v>238</v>
      </c>
      <c r="B274" s="16" t="s">
        <v>728</v>
      </c>
      <c r="C274" s="50"/>
      <c r="D274" s="50"/>
      <c r="E274" s="14" t="s">
        <v>8</v>
      </c>
      <c r="F274" s="17" t="s">
        <v>694</v>
      </c>
      <c r="G274" s="14" t="s">
        <v>111</v>
      </c>
      <c r="H274" s="14" t="s">
        <v>112</v>
      </c>
    </row>
    <row r="275" spans="1:8" ht="25.5" x14ac:dyDescent="0.2">
      <c r="A275" s="14">
        <v>239</v>
      </c>
      <c r="B275" s="16" t="s">
        <v>729</v>
      </c>
      <c r="C275" s="17" t="s">
        <v>730</v>
      </c>
      <c r="D275" s="17" t="s">
        <v>731</v>
      </c>
      <c r="E275" s="14" t="s">
        <v>8</v>
      </c>
      <c r="F275" s="17" t="s">
        <v>654</v>
      </c>
      <c r="G275" s="14" t="s">
        <v>111</v>
      </c>
      <c r="H275" s="14" t="s">
        <v>112</v>
      </c>
    </row>
    <row r="276" spans="1:8" ht="30.75" customHeight="1" x14ac:dyDescent="0.2">
      <c r="A276" s="13" t="s">
        <v>732</v>
      </c>
      <c r="B276" s="9" t="s">
        <v>733</v>
      </c>
      <c r="C276" s="8">
        <f>COUNTA(C277:C284)</f>
        <v>5</v>
      </c>
      <c r="D276" s="8"/>
      <c r="E276" s="8">
        <f>COUNTA(E277:E284)</f>
        <v>8</v>
      </c>
      <c r="F276" s="17"/>
      <c r="G276" s="14" t="s">
        <v>111</v>
      </c>
      <c r="H276" s="14" t="s">
        <v>112</v>
      </c>
    </row>
    <row r="277" spans="1:8" ht="25.5" x14ac:dyDescent="0.2">
      <c r="A277" s="14">
        <v>240</v>
      </c>
      <c r="B277" s="16" t="s">
        <v>734</v>
      </c>
      <c r="C277" s="50" t="s">
        <v>735</v>
      </c>
      <c r="D277" s="50" t="s">
        <v>736</v>
      </c>
      <c r="E277" s="14" t="s">
        <v>8</v>
      </c>
      <c r="F277" s="17" t="s">
        <v>661</v>
      </c>
      <c r="G277" s="14" t="s">
        <v>111</v>
      </c>
      <c r="H277" s="14" t="s">
        <v>112</v>
      </c>
    </row>
    <row r="278" spans="1:8" ht="25.5" x14ac:dyDescent="0.2">
      <c r="A278" s="14">
        <v>241</v>
      </c>
      <c r="B278" s="16" t="s">
        <v>737</v>
      </c>
      <c r="C278" s="50"/>
      <c r="D278" s="53"/>
      <c r="E278" s="14" t="s">
        <v>8</v>
      </c>
      <c r="F278" s="17" t="s">
        <v>661</v>
      </c>
      <c r="G278" s="14" t="s">
        <v>111</v>
      </c>
      <c r="H278" s="14" t="s">
        <v>112</v>
      </c>
    </row>
    <row r="279" spans="1:8" ht="25.5" x14ac:dyDescent="0.2">
      <c r="A279" s="14">
        <v>242</v>
      </c>
      <c r="B279" s="16" t="s">
        <v>734</v>
      </c>
      <c r="C279" s="50" t="s">
        <v>738</v>
      </c>
      <c r="D279" s="50" t="s">
        <v>739</v>
      </c>
      <c r="E279" s="14" t="s">
        <v>8</v>
      </c>
      <c r="F279" s="17" t="s">
        <v>661</v>
      </c>
      <c r="G279" s="14" t="s">
        <v>111</v>
      </c>
      <c r="H279" s="14" t="s">
        <v>112</v>
      </c>
    </row>
    <row r="280" spans="1:8" ht="25.5" x14ac:dyDescent="0.2">
      <c r="A280" s="14">
        <v>243</v>
      </c>
      <c r="B280" s="16" t="s">
        <v>737</v>
      </c>
      <c r="C280" s="50"/>
      <c r="D280" s="53"/>
      <c r="E280" s="14" t="s">
        <v>8</v>
      </c>
      <c r="F280" s="17" t="s">
        <v>661</v>
      </c>
      <c r="G280" s="14" t="s">
        <v>111</v>
      </c>
      <c r="H280" s="14" t="s">
        <v>112</v>
      </c>
    </row>
    <row r="281" spans="1:8" ht="25.5" x14ac:dyDescent="0.2">
      <c r="A281" s="14">
        <v>244</v>
      </c>
      <c r="B281" s="16" t="s">
        <v>740</v>
      </c>
      <c r="C281" s="50" t="s">
        <v>741</v>
      </c>
      <c r="D281" s="50" t="s">
        <v>742</v>
      </c>
      <c r="E281" s="14" t="s">
        <v>8</v>
      </c>
      <c r="F281" s="17" t="s">
        <v>670</v>
      </c>
      <c r="G281" s="14" t="s">
        <v>111</v>
      </c>
      <c r="H281" s="14" t="s">
        <v>112</v>
      </c>
    </row>
    <row r="282" spans="1:8" ht="25.5" x14ac:dyDescent="0.2">
      <c r="A282" s="14">
        <v>245</v>
      </c>
      <c r="B282" s="16" t="s">
        <v>743</v>
      </c>
      <c r="C282" s="50"/>
      <c r="D282" s="50"/>
      <c r="E282" s="14" t="s">
        <v>8</v>
      </c>
      <c r="F282" s="17" t="s">
        <v>658</v>
      </c>
      <c r="G282" s="14" t="s">
        <v>111</v>
      </c>
      <c r="H282" s="14" t="s">
        <v>112</v>
      </c>
    </row>
    <row r="283" spans="1:8" ht="50.25" customHeight="1" x14ac:dyDescent="0.2">
      <c r="A283" s="14">
        <v>246</v>
      </c>
      <c r="B283" s="16" t="s">
        <v>744</v>
      </c>
      <c r="C283" s="17" t="s">
        <v>745</v>
      </c>
      <c r="D283" s="17" t="s">
        <v>746</v>
      </c>
      <c r="E283" s="14" t="s">
        <v>8</v>
      </c>
      <c r="F283" s="17" t="s">
        <v>694</v>
      </c>
      <c r="G283" s="14" t="s">
        <v>111</v>
      </c>
      <c r="H283" s="14" t="s">
        <v>112</v>
      </c>
    </row>
    <row r="284" spans="1:8" ht="25.5" x14ac:dyDescent="0.2">
      <c r="A284" s="14">
        <v>247</v>
      </c>
      <c r="B284" s="16" t="s">
        <v>747</v>
      </c>
      <c r="C284" s="17" t="s">
        <v>748</v>
      </c>
      <c r="D284" s="17" t="s">
        <v>749</v>
      </c>
      <c r="E284" s="14" t="s">
        <v>8</v>
      </c>
      <c r="F284" s="17" t="s">
        <v>694</v>
      </c>
      <c r="G284" s="14" t="s">
        <v>111</v>
      </c>
      <c r="H284" s="14" t="s">
        <v>112</v>
      </c>
    </row>
    <row r="285" spans="1:8" ht="30.75" customHeight="1" x14ac:dyDescent="0.2">
      <c r="A285" s="13" t="s">
        <v>750</v>
      </c>
      <c r="B285" s="9" t="s">
        <v>751</v>
      </c>
      <c r="C285" s="8">
        <f>COUNTA(C286:C304)</f>
        <v>4</v>
      </c>
      <c r="D285" s="8"/>
      <c r="E285" s="8">
        <f>COUNTA(E286:E304)</f>
        <v>19</v>
      </c>
      <c r="F285" s="17"/>
      <c r="G285" s="14" t="s">
        <v>111</v>
      </c>
      <c r="H285" s="14" t="s">
        <v>112</v>
      </c>
    </row>
    <row r="286" spans="1:8" ht="30.75" customHeight="1" x14ac:dyDescent="0.2">
      <c r="A286" s="14">
        <v>248</v>
      </c>
      <c r="B286" s="16" t="s">
        <v>752</v>
      </c>
      <c r="C286" s="50" t="s">
        <v>753</v>
      </c>
      <c r="D286" s="50" t="s">
        <v>754</v>
      </c>
      <c r="E286" s="14" t="s">
        <v>8</v>
      </c>
      <c r="F286" s="17" t="s">
        <v>755</v>
      </c>
      <c r="G286" s="14" t="s">
        <v>111</v>
      </c>
      <c r="H286" s="14" t="s">
        <v>112</v>
      </c>
    </row>
    <row r="287" spans="1:8" ht="30.75" customHeight="1" x14ac:dyDescent="0.2">
      <c r="A287" s="14">
        <v>249</v>
      </c>
      <c r="B287" s="16" t="s">
        <v>756</v>
      </c>
      <c r="C287" s="50"/>
      <c r="D287" s="50"/>
      <c r="E287" s="14" t="s">
        <v>8</v>
      </c>
      <c r="F287" s="17" t="s">
        <v>755</v>
      </c>
      <c r="G287" s="14" t="s">
        <v>111</v>
      </c>
      <c r="H287" s="14" t="s">
        <v>112</v>
      </c>
    </row>
    <row r="288" spans="1:8" ht="30.75" customHeight="1" x14ac:dyDescent="0.2">
      <c r="A288" s="14">
        <v>250</v>
      </c>
      <c r="B288" s="16" t="s">
        <v>757</v>
      </c>
      <c r="C288" s="50"/>
      <c r="D288" s="50"/>
      <c r="E288" s="14" t="s">
        <v>8</v>
      </c>
      <c r="F288" s="17" t="s">
        <v>755</v>
      </c>
      <c r="G288" s="14" t="s">
        <v>147</v>
      </c>
      <c r="H288" s="14" t="s">
        <v>112</v>
      </c>
    </row>
    <row r="289" spans="1:8" ht="57" customHeight="1" x14ac:dyDescent="0.2">
      <c r="A289" s="14">
        <v>251</v>
      </c>
      <c r="B289" s="16" t="s">
        <v>758</v>
      </c>
      <c r="C289" s="50" t="s">
        <v>759</v>
      </c>
      <c r="D289" s="50" t="s">
        <v>760</v>
      </c>
      <c r="E289" s="14" t="s">
        <v>8</v>
      </c>
      <c r="F289" s="17" t="s">
        <v>761</v>
      </c>
      <c r="G289" s="14" t="s">
        <v>111</v>
      </c>
      <c r="H289" s="14" t="s">
        <v>112</v>
      </c>
    </row>
    <row r="290" spans="1:8" ht="25.5" x14ac:dyDescent="0.2">
      <c r="A290" s="14">
        <v>252</v>
      </c>
      <c r="B290" s="16" t="s">
        <v>762</v>
      </c>
      <c r="C290" s="50"/>
      <c r="D290" s="50"/>
      <c r="E290" s="14" t="s">
        <v>8</v>
      </c>
      <c r="F290" s="17" t="s">
        <v>761</v>
      </c>
      <c r="G290" s="14" t="s">
        <v>111</v>
      </c>
      <c r="H290" s="14" t="s">
        <v>112</v>
      </c>
    </row>
    <row r="291" spans="1:8" ht="54.75" customHeight="1" x14ac:dyDescent="0.2">
      <c r="A291" s="14">
        <v>253</v>
      </c>
      <c r="B291" s="16" t="s">
        <v>763</v>
      </c>
      <c r="C291" s="50"/>
      <c r="D291" s="50"/>
      <c r="E291" s="14" t="s">
        <v>8</v>
      </c>
      <c r="F291" s="17" t="s">
        <v>761</v>
      </c>
      <c r="G291" s="14" t="s">
        <v>111</v>
      </c>
      <c r="H291" s="14" t="s">
        <v>112</v>
      </c>
    </row>
    <row r="292" spans="1:8" ht="50.25" customHeight="1" x14ac:dyDescent="0.2">
      <c r="A292" s="14">
        <v>254</v>
      </c>
      <c r="B292" s="16" t="s">
        <v>764</v>
      </c>
      <c r="C292" s="21"/>
      <c r="D292" s="50"/>
      <c r="E292" s="14" t="s">
        <v>8</v>
      </c>
      <c r="F292" s="17" t="s">
        <v>761</v>
      </c>
      <c r="G292" s="14" t="s">
        <v>111</v>
      </c>
      <c r="H292" s="14" t="s">
        <v>112</v>
      </c>
    </row>
    <row r="293" spans="1:8" ht="30.75" customHeight="1" x14ac:dyDescent="0.2">
      <c r="A293" s="14">
        <v>255</v>
      </c>
      <c r="B293" s="16" t="s">
        <v>765</v>
      </c>
      <c r="C293" s="50" t="s">
        <v>766</v>
      </c>
      <c r="D293" s="50" t="s">
        <v>767</v>
      </c>
      <c r="E293" s="14" t="s">
        <v>8</v>
      </c>
      <c r="F293" s="17" t="s">
        <v>768</v>
      </c>
      <c r="G293" s="14" t="s">
        <v>353</v>
      </c>
      <c r="H293" s="14" t="s">
        <v>112</v>
      </c>
    </row>
    <row r="294" spans="1:8" ht="30.75" customHeight="1" x14ac:dyDescent="0.2">
      <c r="A294" s="14">
        <v>256</v>
      </c>
      <c r="B294" s="16" t="s">
        <v>769</v>
      </c>
      <c r="C294" s="50"/>
      <c r="D294" s="50"/>
      <c r="E294" s="14" t="s">
        <v>8</v>
      </c>
      <c r="F294" s="17" t="s">
        <v>768</v>
      </c>
      <c r="G294" s="14" t="s">
        <v>353</v>
      </c>
      <c r="H294" s="14" t="s">
        <v>112</v>
      </c>
    </row>
    <row r="295" spans="1:8" ht="30.75" customHeight="1" x14ac:dyDescent="0.2">
      <c r="A295" s="14">
        <v>257</v>
      </c>
      <c r="B295" s="16" t="s">
        <v>770</v>
      </c>
      <c r="C295" s="50"/>
      <c r="D295" s="50"/>
      <c r="E295" s="14" t="s">
        <v>8</v>
      </c>
      <c r="F295" s="17" t="s">
        <v>771</v>
      </c>
      <c r="G295" s="14" t="s">
        <v>353</v>
      </c>
      <c r="H295" s="14" t="s">
        <v>112</v>
      </c>
    </row>
    <row r="296" spans="1:8" ht="30.75" customHeight="1" x14ac:dyDescent="0.2">
      <c r="A296" s="14">
        <v>258</v>
      </c>
      <c r="B296" s="16" t="s">
        <v>772</v>
      </c>
      <c r="C296" s="50"/>
      <c r="D296" s="50"/>
      <c r="E296" s="14" t="s">
        <v>8</v>
      </c>
      <c r="F296" s="17" t="s">
        <v>768</v>
      </c>
      <c r="G296" s="14" t="s">
        <v>353</v>
      </c>
      <c r="H296" s="14" t="s">
        <v>112</v>
      </c>
    </row>
    <row r="297" spans="1:8" ht="30.75" customHeight="1" x14ac:dyDescent="0.2">
      <c r="A297" s="14">
        <v>259</v>
      </c>
      <c r="B297" s="9" t="s">
        <v>773</v>
      </c>
      <c r="C297" s="50" t="s">
        <v>774</v>
      </c>
      <c r="D297" s="50" t="s">
        <v>775</v>
      </c>
      <c r="E297" s="8" t="s">
        <v>7</v>
      </c>
      <c r="F297" s="10" t="s">
        <v>118</v>
      </c>
      <c r="G297" s="14" t="s">
        <v>353</v>
      </c>
      <c r="H297" s="14" t="s">
        <v>112</v>
      </c>
    </row>
    <row r="298" spans="1:8" ht="30.75" customHeight="1" x14ac:dyDescent="0.2">
      <c r="A298" s="14">
        <v>260</v>
      </c>
      <c r="B298" s="16" t="s">
        <v>776</v>
      </c>
      <c r="C298" s="50"/>
      <c r="D298" s="50"/>
      <c r="E298" s="14" t="s">
        <v>8</v>
      </c>
      <c r="F298" s="17" t="s">
        <v>777</v>
      </c>
      <c r="G298" s="14" t="s">
        <v>111</v>
      </c>
      <c r="H298" s="14" t="s">
        <v>112</v>
      </c>
    </row>
    <row r="299" spans="1:8" ht="30.75" customHeight="1" x14ac:dyDescent="0.2">
      <c r="A299" s="14">
        <v>261</v>
      </c>
      <c r="B299" s="9" t="s">
        <v>778</v>
      </c>
      <c r="C299" s="50"/>
      <c r="D299" s="50"/>
      <c r="E299" s="8" t="s">
        <v>7</v>
      </c>
      <c r="F299" s="10" t="s">
        <v>114</v>
      </c>
      <c r="G299" s="14" t="s">
        <v>353</v>
      </c>
      <c r="H299" s="14" t="s">
        <v>112</v>
      </c>
    </row>
    <row r="300" spans="1:8" ht="30.75" customHeight="1" x14ac:dyDescent="0.2">
      <c r="A300" s="14">
        <v>262</v>
      </c>
      <c r="B300" s="16" t="s">
        <v>779</v>
      </c>
      <c r="C300" s="50"/>
      <c r="D300" s="50"/>
      <c r="E300" s="14" t="s">
        <v>8</v>
      </c>
      <c r="F300" s="17" t="s">
        <v>777</v>
      </c>
      <c r="G300" s="14" t="s">
        <v>353</v>
      </c>
      <c r="H300" s="14" t="s">
        <v>112</v>
      </c>
    </row>
    <row r="301" spans="1:8" ht="30.75" customHeight="1" x14ac:dyDescent="0.2">
      <c r="A301" s="14">
        <v>263</v>
      </c>
      <c r="B301" s="16" t="s">
        <v>780</v>
      </c>
      <c r="C301" s="50"/>
      <c r="D301" s="50"/>
      <c r="E301" s="14" t="s">
        <v>8</v>
      </c>
      <c r="F301" s="17" t="s">
        <v>777</v>
      </c>
      <c r="G301" s="14" t="s">
        <v>353</v>
      </c>
      <c r="H301" s="14" t="s">
        <v>112</v>
      </c>
    </row>
    <row r="302" spans="1:8" ht="30.75" customHeight="1" x14ac:dyDescent="0.2">
      <c r="A302" s="14">
        <v>264</v>
      </c>
      <c r="B302" s="9" t="s">
        <v>781</v>
      </c>
      <c r="C302" s="50"/>
      <c r="D302" s="50"/>
      <c r="E302" s="8" t="s">
        <v>7</v>
      </c>
      <c r="F302" s="10" t="s">
        <v>782</v>
      </c>
      <c r="G302" s="14" t="s">
        <v>353</v>
      </c>
      <c r="H302" s="14" t="s">
        <v>112</v>
      </c>
    </row>
    <row r="303" spans="1:8" ht="30.75" customHeight="1" x14ac:dyDescent="0.2">
      <c r="A303" s="14">
        <v>265</v>
      </c>
      <c r="B303" s="16" t="s">
        <v>783</v>
      </c>
      <c r="C303" s="50"/>
      <c r="D303" s="50"/>
      <c r="E303" s="14" t="s">
        <v>8</v>
      </c>
      <c r="F303" s="17" t="s">
        <v>761</v>
      </c>
      <c r="G303" s="14" t="s">
        <v>353</v>
      </c>
      <c r="H303" s="14" t="s">
        <v>112</v>
      </c>
    </row>
    <row r="304" spans="1:8" ht="30.75" customHeight="1" x14ac:dyDescent="0.2">
      <c r="A304" s="14">
        <v>266</v>
      </c>
      <c r="B304" s="16" t="s">
        <v>784</v>
      </c>
      <c r="C304" s="50"/>
      <c r="D304" s="50"/>
      <c r="E304" s="14" t="s">
        <v>8</v>
      </c>
      <c r="F304" s="17" t="s">
        <v>761</v>
      </c>
      <c r="G304" s="14" t="s">
        <v>353</v>
      </c>
      <c r="H304" s="14" t="s">
        <v>112</v>
      </c>
    </row>
    <row r="305" spans="1:8" ht="30.75" customHeight="1" x14ac:dyDescent="0.2">
      <c r="A305" s="13" t="s">
        <v>785</v>
      </c>
      <c r="B305" s="9" t="s">
        <v>786</v>
      </c>
      <c r="C305" s="8">
        <f>COUNTA(C306:C309)</f>
        <v>2</v>
      </c>
      <c r="D305" s="8"/>
      <c r="E305" s="8">
        <f>COUNTA(E306:E309)</f>
        <v>4</v>
      </c>
      <c r="F305" s="17"/>
      <c r="G305" s="14" t="s">
        <v>111</v>
      </c>
      <c r="H305" s="14" t="s">
        <v>112</v>
      </c>
    </row>
    <row r="306" spans="1:8" ht="53.25" customHeight="1" x14ac:dyDescent="0.2">
      <c r="A306" s="14">
        <v>267</v>
      </c>
      <c r="B306" s="9" t="s">
        <v>787</v>
      </c>
      <c r="C306" s="50" t="s">
        <v>788</v>
      </c>
      <c r="D306" s="50" t="s">
        <v>789</v>
      </c>
      <c r="E306" s="8" t="s">
        <v>7</v>
      </c>
      <c r="F306" s="10" t="s">
        <v>114</v>
      </c>
      <c r="G306" s="14" t="s">
        <v>111</v>
      </c>
      <c r="H306" s="14" t="s">
        <v>112</v>
      </c>
    </row>
    <row r="307" spans="1:8" ht="25.5" x14ac:dyDescent="0.2">
      <c r="A307" s="14">
        <v>268</v>
      </c>
      <c r="B307" s="16" t="s">
        <v>790</v>
      </c>
      <c r="C307" s="50"/>
      <c r="D307" s="50"/>
      <c r="E307" s="14" t="s">
        <v>8</v>
      </c>
      <c r="F307" s="17" t="s">
        <v>755</v>
      </c>
      <c r="G307" s="14" t="s">
        <v>353</v>
      </c>
      <c r="H307" s="14" t="s">
        <v>112</v>
      </c>
    </row>
    <row r="308" spans="1:8" ht="25.5" x14ac:dyDescent="0.2">
      <c r="A308" s="14">
        <v>269</v>
      </c>
      <c r="B308" s="16" t="s">
        <v>791</v>
      </c>
      <c r="C308" s="50" t="s">
        <v>792</v>
      </c>
      <c r="D308" s="50" t="s">
        <v>793</v>
      </c>
      <c r="E308" s="14" t="s">
        <v>8</v>
      </c>
      <c r="F308" s="17" t="s">
        <v>755</v>
      </c>
      <c r="G308" s="14" t="s">
        <v>111</v>
      </c>
      <c r="H308" s="14" t="s">
        <v>112</v>
      </c>
    </row>
    <row r="309" spans="1:8" ht="25.5" x14ac:dyDescent="0.2">
      <c r="A309" s="14">
        <v>270</v>
      </c>
      <c r="B309" s="16" t="s">
        <v>794</v>
      </c>
      <c r="C309" s="50"/>
      <c r="D309" s="50"/>
      <c r="E309" s="14" t="s">
        <v>8</v>
      </c>
      <c r="F309" s="17" t="s">
        <v>761</v>
      </c>
      <c r="G309" s="14" t="s">
        <v>111</v>
      </c>
      <c r="H309" s="14" t="s">
        <v>112</v>
      </c>
    </row>
    <row r="310" spans="1:8" ht="30.75" customHeight="1" x14ac:dyDescent="0.2">
      <c r="A310" s="13" t="s">
        <v>795</v>
      </c>
      <c r="B310" s="9" t="s">
        <v>796</v>
      </c>
      <c r="C310" s="8">
        <f>COUNTA(C311)</f>
        <v>1</v>
      </c>
      <c r="D310" s="8"/>
      <c r="E310" s="8">
        <f>COUNTA(E311)</f>
        <v>1</v>
      </c>
      <c r="F310" s="17"/>
      <c r="G310" s="14" t="s">
        <v>111</v>
      </c>
      <c r="H310" s="14" t="s">
        <v>112</v>
      </c>
    </row>
    <row r="311" spans="1:8" ht="38.25" x14ac:dyDescent="0.2">
      <c r="A311" s="14">
        <v>271</v>
      </c>
      <c r="B311" s="16" t="s">
        <v>797</v>
      </c>
      <c r="C311" s="17" t="s">
        <v>798</v>
      </c>
      <c r="D311" s="17" t="s">
        <v>799</v>
      </c>
      <c r="E311" s="14" t="s">
        <v>8</v>
      </c>
      <c r="F311" s="17" t="s">
        <v>755</v>
      </c>
      <c r="G311" s="14" t="s">
        <v>111</v>
      </c>
      <c r="H311" s="14" t="s">
        <v>112</v>
      </c>
    </row>
    <row r="312" spans="1:8" ht="30.75" customHeight="1" x14ac:dyDescent="0.2">
      <c r="A312" s="13" t="s">
        <v>800</v>
      </c>
      <c r="B312" s="9" t="s">
        <v>801</v>
      </c>
      <c r="C312" s="8">
        <f>COUNTA(C313)</f>
        <v>1</v>
      </c>
      <c r="D312" s="8"/>
      <c r="E312" s="8">
        <f>COUNTA(E313)</f>
        <v>1</v>
      </c>
      <c r="F312" s="17"/>
      <c r="G312" s="14" t="s">
        <v>111</v>
      </c>
      <c r="H312" s="14" t="s">
        <v>112</v>
      </c>
    </row>
    <row r="313" spans="1:8" ht="38.25" x14ac:dyDescent="0.2">
      <c r="A313" s="14">
        <v>272</v>
      </c>
      <c r="B313" s="16" t="s">
        <v>802</v>
      </c>
      <c r="C313" s="17" t="s">
        <v>803</v>
      </c>
      <c r="D313" s="17" t="s">
        <v>804</v>
      </c>
      <c r="E313" s="14" t="s">
        <v>8</v>
      </c>
      <c r="F313" s="17" t="s">
        <v>805</v>
      </c>
      <c r="G313" s="14" t="s">
        <v>111</v>
      </c>
      <c r="H313" s="14" t="s">
        <v>112</v>
      </c>
    </row>
    <row r="314" spans="1:8" ht="30.75" customHeight="1" x14ac:dyDescent="0.2">
      <c r="A314" s="13" t="s">
        <v>806</v>
      </c>
      <c r="B314" s="9" t="s">
        <v>807</v>
      </c>
      <c r="C314" s="8">
        <f>COUNTA(C315)</f>
        <v>1</v>
      </c>
      <c r="D314" s="8"/>
      <c r="E314" s="8">
        <f>COUNTA(E315:E316)</f>
        <v>2</v>
      </c>
      <c r="F314" s="17"/>
      <c r="G314" s="14" t="s">
        <v>111</v>
      </c>
      <c r="H314" s="14" t="s">
        <v>112</v>
      </c>
    </row>
    <row r="315" spans="1:8" ht="25.5" x14ac:dyDescent="0.2">
      <c r="A315" s="14">
        <v>273</v>
      </c>
      <c r="B315" s="16" t="s">
        <v>808</v>
      </c>
      <c r="C315" s="50" t="s">
        <v>809</v>
      </c>
      <c r="D315" s="50" t="s">
        <v>810</v>
      </c>
      <c r="E315" s="14" t="s">
        <v>8</v>
      </c>
      <c r="F315" s="17" t="s">
        <v>811</v>
      </c>
      <c r="G315" s="14" t="s">
        <v>111</v>
      </c>
      <c r="H315" s="14" t="s">
        <v>112</v>
      </c>
    </row>
    <row r="316" spans="1:8" ht="25.5" x14ac:dyDescent="0.2">
      <c r="A316" s="14">
        <v>274</v>
      </c>
      <c r="B316" s="16" t="s">
        <v>812</v>
      </c>
      <c r="C316" s="50"/>
      <c r="D316" s="50"/>
      <c r="E316" s="14" t="s">
        <v>8</v>
      </c>
      <c r="F316" s="17" t="s">
        <v>813</v>
      </c>
      <c r="G316" s="14" t="s">
        <v>111</v>
      </c>
      <c r="H316" s="14" t="s">
        <v>112</v>
      </c>
    </row>
    <row r="317" spans="1:8" ht="30.75" customHeight="1" x14ac:dyDescent="0.2">
      <c r="A317" s="13" t="s">
        <v>814</v>
      </c>
      <c r="B317" s="9" t="s">
        <v>815</v>
      </c>
      <c r="C317" s="8">
        <f>COUNTA(C318:C322)</f>
        <v>4</v>
      </c>
      <c r="D317" s="8"/>
      <c r="E317" s="8">
        <f>COUNTA(E318:E322)</f>
        <v>5</v>
      </c>
      <c r="F317" s="17"/>
      <c r="G317" s="14" t="s">
        <v>111</v>
      </c>
      <c r="H317" s="14" t="s">
        <v>112</v>
      </c>
    </row>
    <row r="318" spans="1:8" ht="25.5" x14ac:dyDescent="0.2">
      <c r="A318" s="14">
        <v>275</v>
      </c>
      <c r="B318" s="16" t="s">
        <v>816</v>
      </c>
      <c r="C318" s="17" t="s">
        <v>817</v>
      </c>
      <c r="D318" s="17" t="s">
        <v>818</v>
      </c>
      <c r="E318" s="14" t="s">
        <v>8</v>
      </c>
      <c r="F318" s="17" t="s">
        <v>811</v>
      </c>
      <c r="G318" s="14" t="s">
        <v>111</v>
      </c>
      <c r="H318" s="14" t="s">
        <v>112</v>
      </c>
    </row>
    <row r="319" spans="1:8" ht="25.5" x14ac:dyDescent="0.2">
      <c r="A319" s="14">
        <v>276</v>
      </c>
      <c r="B319" s="16" t="s">
        <v>819</v>
      </c>
      <c r="C319" s="17" t="s">
        <v>820</v>
      </c>
      <c r="D319" s="17" t="s">
        <v>821</v>
      </c>
      <c r="E319" s="14" t="s">
        <v>8</v>
      </c>
      <c r="F319" s="17" t="s">
        <v>822</v>
      </c>
      <c r="G319" s="14" t="s">
        <v>111</v>
      </c>
      <c r="H319" s="14" t="s">
        <v>112</v>
      </c>
    </row>
    <row r="320" spans="1:8" ht="25.5" x14ac:dyDescent="0.2">
      <c r="A320" s="14">
        <v>277</v>
      </c>
      <c r="B320" s="16" t="s">
        <v>823</v>
      </c>
      <c r="C320" s="50" t="s">
        <v>824</v>
      </c>
      <c r="D320" s="50" t="s">
        <v>825</v>
      </c>
      <c r="E320" s="14" t="s">
        <v>8</v>
      </c>
      <c r="F320" s="17" t="s">
        <v>811</v>
      </c>
      <c r="G320" s="14" t="s">
        <v>111</v>
      </c>
      <c r="H320" s="14" t="s">
        <v>112</v>
      </c>
    </row>
    <row r="321" spans="1:8" ht="31.5" customHeight="1" x14ac:dyDescent="0.2">
      <c r="A321" s="14">
        <v>278</v>
      </c>
      <c r="B321" s="16" t="s">
        <v>826</v>
      </c>
      <c r="C321" s="50"/>
      <c r="D321" s="50"/>
      <c r="E321" s="14" t="s">
        <v>8</v>
      </c>
      <c r="F321" s="17" t="s">
        <v>813</v>
      </c>
      <c r="G321" s="14" t="s">
        <v>111</v>
      </c>
      <c r="H321" s="14" t="s">
        <v>112</v>
      </c>
    </row>
    <row r="322" spans="1:8" ht="55.5" customHeight="1" x14ac:dyDescent="0.2">
      <c r="A322" s="14">
        <v>279</v>
      </c>
      <c r="B322" s="16" t="s">
        <v>827</v>
      </c>
      <c r="C322" s="17" t="s">
        <v>828</v>
      </c>
      <c r="D322" s="17" t="s">
        <v>829</v>
      </c>
      <c r="E322" s="14" t="s">
        <v>8</v>
      </c>
      <c r="F322" s="17" t="s">
        <v>813</v>
      </c>
      <c r="G322" s="14" t="s">
        <v>111</v>
      </c>
      <c r="H322" s="14" t="s">
        <v>112</v>
      </c>
    </row>
    <row r="323" spans="1:8" ht="30.75" customHeight="1" x14ac:dyDescent="0.2">
      <c r="A323" s="13" t="s">
        <v>830</v>
      </c>
      <c r="B323" s="9" t="s">
        <v>831</v>
      </c>
      <c r="C323" s="8">
        <f>COUNTA(C324:C327)</f>
        <v>3</v>
      </c>
      <c r="D323" s="8"/>
      <c r="E323" s="8">
        <f>COUNTA(E324:E327)</f>
        <v>4</v>
      </c>
      <c r="F323" s="17"/>
      <c r="G323" s="14" t="s">
        <v>111</v>
      </c>
      <c r="H323" s="14" t="s">
        <v>112</v>
      </c>
    </row>
    <row r="324" spans="1:8" ht="25.5" x14ac:dyDescent="0.2">
      <c r="A324" s="14">
        <v>280</v>
      </c>
      <c r="B324" s="16" t="s">
        <v>832</v>
      </c>
      <c r="C324" s="50" t="s">
        <v>833</v>
      </c>
      <c r="D324" s="50" t="s">
        <v>834</v>
      </c>
      <c r="E324" s="14" t="s">
        <v>8</v>
      </c>
      <c r="F324" s="17" t="s">
        <v>822</v>
      </c>
      <c r="G324" s="14" t="s">
        <v>111</v>
      </c>
      <c r="H324" s="14" t="s">
        <v>112</v>
      </c>
    </row>
    <row r="325" spans="1:8" ht="39.75" customHeight="1" x14ac:dyDescent="0.2">
      <c r="A325" s="14">
        <v>281</v>
      </c>
      <c r="B325" s="16" t="s">
        <v>835</v>
      </c>
      <c r="C325" s="50"/>
      <c r="D325" s="50"/>
      <c r="E325" s="14" t="s">
        <v>8</v>
      </c>
      <c r="F325" s="17" t="s">
        <v>811</v>
      </c>
      <c r="G325" s="14" t="s">
        <v>111</v>
      </c>
      <c r="H325" s="14" t="s">
        <v>112</v>
      </c>
    </row>
    <row r="326" spans="1:8" ht="25.5" x14ac:dyDescent="0.2">
      <c r="A326" s="14">
        <v>282</v>
      </c>
      <c r="B326" s="16" t="s">
        <v>836</v>
      </c>
      <c r="C326" s="17" t="s">
        <v>837</v>
      </c>
      <c r="D326" s="17" t="s">
        <v>838</v>
      </c>
      <c r="E326" s="14" t="s">
        <v>8</v>
      </c>
      <c r="F326" s="17" t="s">
        <v>811</v>
      </c>
      <c r="G326" s="14" t="s">
        <v>111</v>
      </c>
      <c r="H326" s="14" t="s">
        <v>112</v>
      </c>
    </row>
    <row r="327" spans="1:8" ht="40.5" customHeight="1" x14ac:dyDescent="0.2">
      <c r="A327" s="14">
        <v>283</v>
      </c>
      <c r="B327" s="16" t="s">
        <v>839</v>
      </c>
      <c r="C327" s="17" t="s">
        <v>840</v>
      </c>
      <c r="D327" s="17" t="s">
        <v>841</v>
      </c>
      <c r="E327" s="14" t="s">
        <v>8</v>
      </c>
      <c r="F327" s="17" t="s">
        <v>813</v>
      </c>
      <c r="G327" s="14" t="s">
        <v>111</v>
      </c>
      <c r="H327" s="14" t="s">
        <v>112</v>
      </c>
    </row>
    <row r="328" spans="1:8" ht="30.75" customHeight="1" x14ac:dyDescent="0.2">
      <c r="A328" s="13" t="s">
        <v>842</v>
      </c>
      <c r="B328" s="9" t="s">
        <v>843</v>
      </c>
      <c r="C328" s="8">
        <f>COUNTA(C329:C329)</f>
        <v>1</v>
      </c>
      <c r="D328" s="8"/>
      <c r="E328" s="8">
        <f>COUNTA(E329:E329)</f>
        <v>1</v>
      </c>
      <c r="F328" s="17"/>
      <c r="G328" s="14" t="s">
        <v>111</v>
      </c>
      <c r="H328" s="14" t="s">
        <v>112</v>
      </c>
    </row>
    <row r="329" spans="1:8" ht="25.5" x14ac:dyDescent="0.2">
      <c r="A329" s="14">
        <v>284</v>
      </c>
      <c r="B329" s="16" t="s">
        <v>844</v>
      </c>
      <c r="C329" s="17" t="s">
        <v>845</v>
      </c>
      <c r="D329" s="17" t="s">
        <v>846</v>
      </c>
      <c r="E329" s="14" t="s">
        <v>8</v>
      </c>
      <c r="F329" s="17" t="s">
        <v>811</v>
      </c>
      <c r="G329" s="14" t="s">
        <v>111</v>
      </c>
      <c r="H329" s="14" t="s">
        <v>112</v>
      </c>
    </row>
    <row r="330" spans="1:8" ht="30.75" customHeight="1" x14ac:dyDescent="0.2">
      <c r="A330" s="13" t="s">
        <v>847</v>
      </c>
      <c r="B330" s="9" t="s">
        <v>848</v>
      </c>
      <c r="C330" s="8">
        <f>COUNTA(C331:C339)</f>
        <v>2</v>
      </c>
      <c r="D330" s="8"/>
      <c r="E330" s="8">
        <f>COUNTA(E331:E339)</f>
        <v>9</v>
      </c>
      <c r="F330" s="17"/>
      <c r="G330" s="14" t="s">
        <v>111</v>
      </c>
      <c r="H330" s="14" t="s">
        <v>112</v>
      </c>
    </row>
    <row r="331" spans="1:8" ht="48.75" customHeight="1" x14ac:dyDescent="0.2">
      <c r="A331" s="14">
        <v>285</v>
      </c>
      <c r="B331" s="16" t="s">
        <v>849</v>
      </c>
      <c r="C331" s="50" t="s">
        <v>850</v>
      </c>
      <c r="D331" s="50" t="s">
        <v>851</v>
      </c>
      <c r="E331" s="14" t="s">
        <v>8</v>
      </c>
      <c r="F331" s="17" t="s">
        <v>805</v>
      </c>
      <c r="G331" s="14" t="s">
        <v>111</v>
      </c>
      <c r="H331" s="14" t="s">
        <v>112</v>
      </c>
    </row>
    <row r="332" spans="1:8" ht="25.5" x14ac:dyDescent="0.2">
      <c r="A332" s="14">
        <v>286</v>
      </c>
      <c r="B332" s="16" t="s">
        <v>634</v>
      </c>
      <c r="C332" s="50"/>
      <c r="D332" s="50"/>
      <c r="E332" s="14" t="s">
        <v>8</v>
      </c>
      <c r="F332" s="17" t="s">
        <v>805</v>
      </c>
      <c r="G332" s="14" t="s">
        <v>111</v>
      </c>
      <c r="H332" s="14" t="s">
        <v>112</v>
      </c>
    </row>
    <row r="333" spans="1:8" ht="25.5" x14ac:dyDescent="0.2">
      <c r="A333" s="14">
        <v>287</v>
      </c>
      <c r="B333" s="16" t="s">
        <v>852</v>
      </c>
      <c r="C333" s="50" t="s">
        <v>853</v>
      </c>
      <c r="D333" s="50" t="s">
        <v>854</v>
      </c>
      <c r="E333" s="14" t="s">
        <v>8</v>
      </c>
      <c r="F333" s="17" t="s">
        <v>855</v>
      </c>
      <c r="G333" s="14" t="s">
        <v>111</v>
      </c>
      <c r="H333" s="14" t="s">
        <v>112</v>
      </c>
    </row>
    <row r="334" spans="1:8" ht="25.5" x14ac:dyDescent="0.2">
      <c r="A334" s="14">
        <v>288</v>
      </c>
      <c r="B334" s="16" t="s">
        <v>856</v>
      </c>
      <c r="C334" s="50"/>
      <c r="D334" s="50"/>
      <c r="E334" s="14" t="s">
        <v>8</v>
      </c>
      <c r="F334" s="17" t="s">
        <v>855</v>
      </c>
      <c r="G334" s="14" t="s">
        <v>111</v>
      </c>
      <c r="H334" s="14" t="s">
        <v>112</v>
      </c>
    </row>
    <row r="335" spans="1:8" ht="25.5" x14ac:dyDescent="0.2">
      <c r="A335" s="14">
        <v>289</v>
      </c>
      <c r="B335" s="16" t="s">
        <v>857</v>
      </c>
      <c r="C335" s="50"/>
      <c r="D335" s="50"/>
      <c r="E335" s="14" t="s">
        <v>8</v>
      </c>
      <c r="F335" s="17" t="s">
        <v>855</v>
      </c>
      <c r="G335" s="14" t="s">
        <v>111</v>
      </c>
      <c r="H335" s="14" t="s">
        <v>112</v>
      </c>
    </row>
    <row r="336" spans="1:8" ht="25.5" x14ac:dyDescent="0.2">
      <c r="A336" s="14">
        <v>290</v>
      </c>
      <c r="B336" s="16" t="s">
        <v>858</v>
      </c>
      <c r="C336" s="50"/>
      <c r="D336" s="50"/>
      <c r="E336" s="14" t="s">
        <v>8</v>
      </c>
      <c r="F336" s="17" t="s">
        <v>855</v>
      </c>
      <c r="G336" s="14" t="s">
        <v>111</v>
      </c>
      <c r="H336" s="14" t="s">
        <v>112</v>
      </c>
    </row>
    <row r="337" spans="1:8" ht="25.5" x14ac:dyDescent="0.2">
      <c r="A337" s="14">
        <v>291</v>
      </c>
      <c r="B337" s="16" t="s">
        <v>859</v>
      </c>
      <c r="C337" s="50"/>
      <c r="D337" s="50"/>
      <c r="E337" s="14" t="s">
        <v>8</v>
      </c>
      <c r="F337" s="17" t="s">
        <v>855</v>
      </c>
      <c r="G337" s="14" t="s">
        <v>111</v>
      </c>
      <c r="H337" s="14" t="s">
        <v>112</v>
      </c>
    </row>
    <row r="338" spans="1:8" ht="25.5" x14ac:dyDescent="0.2">
      <c r="A338" s="14">
        <v>292</v>
      </c>
      <c r="B338" s="16" t="s">
        <v>860</v>
      </c>
      <c r="C338" s="50"/>
      <c r="D338" s="50"/>
      <c r="E338" s="14" t="s">
        <v>8</v>
      </c>
      <c r="F338" s="17" t="s">
        <v>861</v>
      </c>
      <c r="G338" s="14" t="s">
        <v>111</v>
      </c>
      <c r="H338" s="14" t="s">
        <v>112</v>
      </c>
    </row>
    <row r="339" spans="1:8" ht="25.5" x14ac:dyDescent="0.2">
      <c r="A339" s="14">
        <v>293</v>
      </c>
      <c r="B339" s="16" t="s">
        <v>862</v>
      </c>
      <c r="C339" s="50"/>
      <c r="D339" s="50"/>
      <c r="E339" s="14" t="s">
        <v>8</v>
      </c>
      <c r="F339" s="17" t="s">
        <v>861</v>
      </c>
      <c r="G339" s="14" t="s">
        <v>147</v>
      </c>
      <c r="H339" s="14" t="s">
        <v>112</v>
      </c>
    </row>
    <row r="340" spans="1:8" ht="30.75" customHeight="1" x14ac:dyDescent="0.2">
      <c r="A340" s="13" t="s">
        <v>863</v>
      </c>
      <c r="B340" s="9" t="s">
        <v>864</v>
      </c>
      <c r="C340" s="8">
        <f>COUNTA(C341:C344)</f>
        <v>3</v>
      </c>
      <c r="D340" s="8"/>
      <c r="E340" s="8">
        <f>COUNTA(E341:E344)</f>
        <v>4</v>
      </c>
      <c r="F340" s="17"/>
      <c r="G340" s="14" t="s">
        <v>111</v>
      </c>
      <c r="H340" s="14" t="s">
        <v>112</v>
      </c>
    </row>
    <row r="341" spans="1:8" ht="38.25" x14ac:dyDescent="0.2">
      <c r="A341" s="17">
        <v>294</v>
      </c>
      <c r="B341" s="16" t="s">
        <v>865</v>
      </c>
      <c r="C341" s="17" t="s">
        <v>866</v>
      </c>
      <c r="D341" s="17" t="s">
        <v>867</v>
      </c>
      <c r="E341" s="14" t="s">
        <v>8</v>
      </c>
      <c r="F341" s="17" t="s">
        <v>868</v>
      </c>
      <c r="G341" s="14" t="s">
        <v>111</v>
      </c>
      <c r="H341" s="14" t="s">
        <v>112</v>
      </c>
    </row>
    <row r="342" spans="1:8" ht="54.75" customHeight="1" x14ac:dyDescent="0.2">
      <c r="A342" s="17">
        <v>295</v>
      </c>
      <c r="B342" s="16" t="s">
        <v>869</v>
      </c>
      <c r="C342" s="17" t="s">
        <v>870</v>
      </c>
      <c r="D342" s="17" t="s">
        <v>871</v>
      </c>
      <c r="E342" s="14" t="s">
        <v>8</v>
      </c>
      <c r="F342" s="17" t="s">
        <v>868</v>
      </c>
      <c r="G342" s="14" t="s">
        <v>111</v>
      </c>
      <c r="H342" s="14" t="s">
        <v>112</v>
      </c>
    </row>
    <row r="343" spans="1:8" ht="25.5" x14ac:dyDescent="0.2">
      <c r="A343" s="17">
        <v>296</v>
      </c>
      <c r="B343" s="16" t="s">
        <v>872</v>
      </c>
      <c r="C343" s="50" t="s">
        <v>873</v>
      </c>
      <c r="D343" s="50" t="s">
        <v>874</v>
      </c>
      <c r="E343" s="14" t="s">
        <v>8</v>
      </c>
      <c r="F343" s="17" t="s">
        <v>875</v>
      </c>
      <c r="G343" s="14" t="s">
        <v>111</v>
      </c>
      <c r="H343" s="14" t="s">
        <v>112</v>
      </c>
    </row>
    <row r="344" spans="1:8" ht="25.5" x14ac:dyDescent="0.2">
      <c r="A344" s="17">
        <v>297</v>
      </c>
      <c r="B344" s="16" t="s">
        <v>876</v>
      </c>
      <c r="C344" s="50"/>
      <c r="D344" s="50"/>
      <c r="E344" s="14" t="s">
        <v>8</v>
      </c>
      <c r="F344" s="17" t="s">
        <v>875</v>
      </c>
      <c r="G344" s="14" t="s">
        <v>111</v>
      </c>
      <c r="H344" s="14" t="s">
        <v>112</v>
      </c>
    </row>
    <row r="345" spans="1:8" ht="30.75" customHeight="1" x14ac:dyDescent="0.2">
      <c r="A345" s="13" t="s">
        <v>877</v>
      </c>
      <c r="B345" s="9" t="s">
        <v>878</v>
      </c>
      <c r="C345" s="8">
        <f>COUNTA(C346:C347)</f>
        <v>1</v>
      </c>
      <c r="D345" s="8"/>
      <c r="E345" s="8">
        <f>COUNTA(E346:E347)</f>
        <v>2</v>
      </c>
      <c r="F345" s="17"/>
      <c r="G345" s="14" t="s">
        <v>111</v>
      </c>
      <c r="H345" s="14" t="s">
        <v>112</v>
      </c>
    </row>
    <row r="346" spans="1:8" ht="25.5" x14ac:dyDescent="0.2">
      <c r="A346" s="17">
        <v>298</v>
      </c>
      <c r="B346" s="16" t="s">
        <v>879</v>
      </c>
      <c r="C346" s="50" t="s">
        <v>880</v>
      </c>
      <c r="D346" s="50" t="s">
        <v>881</v>
      </c>
      <c r="E346" s="14" t="s">
        <v>8</v>
      </c>
      <c r="F346" s="17" t="s">
        <v>882</v>
      </c>
      <c r="G346" s="14" t="s">
        <v>147</v>
      </c>
      <c r="H346" s="14" t="s">
        <v>112</v>
      </c>
    </row>
    <row r="347" spans="1:8" ht="25.5" x14ac:dyDescent="0.2">
      <c r="A347" s="17">
        <v>299</v>
      </c>
      <c r="B347" s="16" t="s">
        <v>883</v>
      </c>
      <c r="C347" s="50"/>
      <c r="D347" s="50"/>
      <c r="E347" s="14" t="s">
        <v>8</v>
      </c>
      <c r="F347" s="17" t="s">
        <v>882</v>
      </c>
      <c r="G347" s="14" t="s">
        <v>353</v>
      </c>
      <c r="H347" s="14" t="s">
        <v>112</v>
      </c>
    </row>
    <row r="348" spans="1:8" ht="30.75" customHeight="1" x14ac:dyDescent="0.2">
      <c r="A348" s="13" t="s">
        <v>884</v>
      </c>
      <c r="B348" s="9" t="s">
        <v>885</v>
      </c>
      <c r="C348" s="8">
        <f>COUNTA(C349:C350)</f>
        <v>2</v>
      </c>
      <c r="D348" s="8"/>
      <c r="E348" s="8">
        <f>COUNTA(E349:E350)</f>
        <v>2</v>
      </c>
      <c r="F348" s="17"/>
      <c r="G348" s="14" t="s">
        <v>111</v>
      </c>
      <c r="H348" s="14" t="s">
        <v>112</v>
      </c>
    </row>
    <row r="349" spans="1:8" ht="25.5" x14ac:dyDescent="0.2">
      <c r="A349" s="14">
        <v>300</v>
      </c>
      <c r="B349" s="16" t="s">
        <v>886</v>
      </c>
      <c r="C349" s="17" t="s">
        <v>887</v>
      </c>
      <c r="D349" s="17" t="s">
        <v>888</v>
      </c>
      <c r="E349" s="14" t="s">
        <v>8</v>
      </c>
      <c r="F349" s="17" t="s">
        <v>889</v>
      </c>
      <c r="G349" s="14" t="s">
        <v>111</v>
      </c>
      <c r="H349" s="14" t="s">
        <v>112</v>
      </c>
    </row>
    <row r="350" spans="1:8" ht="25.5" x14ac:dyDescent="0.2">
      <c r="A350" s="14">
        <v>301</v>
      </c>
      <c r="B350" s="16" t="s">
        <v>890</v>
      </c>
      <c r="C350" s="17" t="s">
        <v>891</v>
      </c>
      <c r="D350" s="17" t="s">
        <v>892</v>
      </c>
      <c r="E350" s="14" t="s">
        <v>8</v>
      </c>
      <c r="F350" s="17" t="s">
        <v>893</v>
      </c>
      <c r="G350" s="14" t="s">
        <v>111</v>
      </c>
      <c r="H350" s="14" t="s">
        <v>112</v>
      </c>
    </row>
    <row r="351" spans="1:8" ht="30.75" customHeight="1" x14ac:dyDescent="0.2">
      <c r="A351" s="13" t="s">
        <v>894</v>
      </c>
      <c r="B351" s="9" t="s">
        <v>895</v>
      </c>
      <c r="C351" s="8">
        <f>COUNTA(C352)</f>
        <v>1</v>
      </c>
      <c r="D351" s="8"/>
      <c r="E351" s="8">
        <f>COUNTA(E352)</f>
        <v>1</v>
      </c>
      <c r="F351" s="17"/>
      <c r="G351" s="14" t="s">
        <v>111</v>
      </c>
      <c r="H351" s="14" t="s">
        <v>112</v>
      </c>
    </row>
    <row r="352" spans="1:8" ht="57" customHeight="1" x14ac:dyDescent="0.2">
      <c r="A352" s="14">
        <v>302</v>
      </c>
      <c r="B352" s="16" t="s">
        <v>896</v>
      </c>
      <c r="C352" s="17" t="s">
        <v>897</v>
      </c>
      <c r="D352" s="17" t="s">
        <v>898</v>
      </c>
      <c r="E352" s="14" t="s">
        <v>8</v>
      </c>
      <c r="F352" s="17" t="s">
        <v>889</v>
      </c>
      <c r="G352" s="14" t="s">
        <v>111</v>
      </c>
      <c r="H352" s="14" t="s">
        <v>112</v>
      </c>
    </row>
    <row r="353" spans="1:8" ht="30.75" customHeight="1" x14ac:dyDescent="0.2">
      <c r="A353" s="13" t="s">
        <v>899</v>
      </c>
      <c r="B353" s="9" t="s">
        <v>900</v>
      </c>
      <c r="C353" s="8">
        <f>COUNTA(C354:C355)</f>
        <v>2</v>
      </c>
      <c r="D353" s="8"/>
      <c r="E353" s="8">
        <f>COUNTA(E354:E355)</f>
        <v>2</v>
      </c>
      <c r="F353" s="17"/>
      <c r="G353" s="14" t="s">
        <v>111</v>
      </c>
      <c r="H353" s="14" t="s">
        <v>112</v>
      </c>
    </row>
    <row r="354" spans="1:8" ht="25.5" x14ac:dyDescent="0.2">
      <c r="A354" s="14">
        <v>303</v>
      </c>
      <c r="B354" s="16" t="s">
        <v>901</v>
      </c>
      <c r="C354" s="17" t="s">
        <v>902</v>
      </c>
      <c r="D354" s="17" t="s">
        <v>903</v>
      </c>
      <c r="E354" s="14" t="s">
        <v>8</v>
      </c>
      <c r="F354" s="17" t="s">
        <v>893</v>
      </c>
      <c r="G354" s="14" t="s">
        <v>111</v>
      </c>
      <c r="H354" s="14" t="s">
        <v>112</v>
      </c>
    </row>
    <row r="355" spans="1:8" ht="55.5" customHeight="1" x14ac:dyDescent="0.2">
      <c r="A355" s="14">
        <v>304</v>
      </c>
      <c r="B355" s="16" t="s">
        <v>904</v>
      </c>
      <c r="C355" s="17" t="s">
        <v>905</v>
      </c>
      <c r="D355" s="17" t="s">
        <v>906</v>
      </c>
      <c r="E355" s="14" t="s">
        <v>8</v>
      </c>
      <c r="F355" s="17" t="s">
        <v>907</v>
      </c>
      <c r="G355" s="14" t="s">
        <v>111</v>
      </c>
      <c r="H355" s="14" t="s">
        <v>112</v>
      </c>
    </row>
    <row r="356" spans="1:8" ht="30.75" customHeight="1" x14ac:dyDescent="0.2">
      <c r="A356" s="13" t="s">
        <v>908</v>
      </c>
      <c r="B356" s="9" t="s">
        <v>909</v>
      </c>
      <c r="C356" s="8">
        <f>COUNTA(C357:C364)</f>
        <v>4</v>
      </c>
      <c r="D356" s="8"/>
      <c r="E356" s="8">
        <f>COUNTA(E357:E364)</f>
        <v>8</v>
      </c>
      <c r="F356" s="17"/>
      <c r="G356" s="14" t="s">
        <v>111</v>
      </c>
      <c r="H356" s="14" t="s">
        <v>112</v>
      </c>
    </row>
    <row r="357" spans="1:8" ht="60.75" customHeight="1" x14ac:dyDescent="0.2">
      <c r="A357" s="14">
        <v>305</v>
      </c>
      <c r="B357" s="16" t="s">
        <v>910</v>
      </c>
      <c r="C357" s="50" t="s">
        <v>911</v>
      </c>
      <c r="D357" s="50" t="s">
        <v>912</v>
      </c>
      <c r="E357" s="14" t="s">
        <v>8</v>
      </c>
      <c r="F357" s="17" t="s">
        <v>913</v>
      </c>
      <c r="G357" s="14" t="s">
        <v>111</v>
      </c>
      <c r="H357" s="14" t="s">
        <v>112</v>
      </c>
    </row>
    <row r="358" spans="1:8" ht="54.75" customHeight="1" x14ac:dyDescent="0.2">
      <c r="A358" s="14">
        <v>306</v>
      </c>
      <c r="B358" s="16" t="s">
        <v>914</v>
      </c>
      <c r="C358" s="50"/>
      <c r="D358" s="50"/>
      <c r="E358" s="14" t="s">
        <v>8</v>
      </c>
      <c r="F358" s="17" t="s">
        <v>915</v>
      </c>
      <c r="G358" s="14" t="s">
        <v>111</v>
      </c>
      <c r="H358" s="14" t="s">
        <v>112</v>
      </c>
    </row>
    <row r="359" spans="1:8" ht="25.5" x14ac:dyDescent="0.2">
      <c r="A359" s="14">
        <v>307</v>
      </c>
      <c r="B359" s="16" t="s">
        <v>916</v>
      </c>
      <c r="C359" s="50" t="s">
        <v>917</v>
      </c>
      <c r="D359" s="50" t="s">
        <v>918</v>
      </c>
      <c r="E359" s="14" t="s">
        <v>8</v>
      </c>
      <c r="F359" s="17" t="s">
        <v>907</v>
      </c>
      <c r="G359" s="14" t="s">
        <v>111</v>
      </c>
      <c r="H359" s="14" t="s">
        <v>112</v>
      </c>
    </row>
    <row r="360" spans="1:8" ht="60.75" customHeight="1" x14ac:dyDescent="0.2">
      <c r="A360" s="14">
        <v>308</v>
      </c>
      <c r="B360" s="16" t="s">
        <v>919</v>
      </c>
      <c r="C360" s="50"/>
      <c r="D360" s="50"/>
      <c r="E360" s="14" t="s">
        <v>8</v>
      </c>
      <c r="F360" s="17" t="s">
        <v>913</v>
      </c>
      <c r="G360" s="14" t="s">
        <v>111</v>
      </c>
      <c r="H360" s="14" t="s">
        <v>112</v>
      </c>
    </row>
    <row r="361" spans="1:8" ht="31.5" customHeight="1" x14ac:dyDescent="0.2">
      <c r="A361" s="14">
        <v>309</v>
      </c>
      <c r="B361" s="16" t="s">
        <v>920</v>
      </c>
      <c r="C361" s="50" t="s">
        <v>921</v>
      </c>
      <c r="D361" s="50" t="s">
        <v>922</v>
      </c>
      <c r="E361" s="10" t="s">
        <v>7</v>
      </c>
      <c r="F361" s="10" t="s">
        <v>923</v>
      </c>
      <c r="G361" s="14" t="s">
        <v>488</v>
      </c>
      <c r="H361" s="14" t="s">
        <v>112</v>
      </c>
    </row>
    <row r="362" spans="1:8" ht="25.5" x14ac:dyDescent="0.2">
      <c r="A362" s="14">
        <v>310</v>
      </c>
      <c r="B362" s="16" t="s">
        <v>924</v>
      </c>
      <c r="C362" s="50"/>
      <c r="D362" s="50"/>
      <c r="E362" s="10" t="s">
        <v>7</v>
      </c>
      <c r="F362" s="10" t="s">
        <v>137</v>
      </c>
      <c r="G362" s="14" t="s">
        <v>488</v>
      </c>
      <c r="H362" s="14" t="s">
        <v>112</v>
      </c>
    </row>
    <row r="363" spans="1:8" ht="45.75" customHeight="1" x14ac:dyDescent="0.2">
      <c r="A363" s="14">
        <v>311</v>
      </c>
      <c r="B363" s="16" t="s">
        <v>925</v>
      </c>
      <c r="C363" s="50" t="s">
        <v>926</v>
      </c>
      <c r="D363" s="50" t="s">
        <v>927</v>
      </c>
      <c r="E363" s="10" t="s">
        <v>7</v>
      </c>
      <c r="F363" s="10" t="s">
        <v>114</v>
      </c>
      <c r="G363" s="14" t="s">
        <v>488</v>
      </c>
      <c r="H363" s="14" t="s">
        <v>112</v>
      </c>
    </row>
    <row r="364" spans="1:8" ht="25.5" x14ac:dyDescent="0.2">
      <c r="A364" s="14">
        <v>312</v>
      </c>
      <c r="B364" s="16" t="s">
        <v>928</v>
      </c>
      <c r="C364" s="50"/>
      <c r="D364" s="50"/>
      <c r="E364" s="14" t="s">
        <v>8</v>
      </c>
      <c r="F364" s="17" t="s">
        <v>907</v>
      </c>
      <c r="G364" s="14" t="s">
        <v>488</v>
      </c>
      <c r="H364" s="14" t="s">
        <v>112</v>
      </c>
    </row>
    <row r="365" spans="1:8" ht="30.75" customHeight="1" x14ac:dyDescent="0.2">
      <c r="A365" s="13" t="s">
        <v>929</v>
      </c>
      <c r="B365" s="9" t="s">
        <v>930</v>
      </c>
      <c r="C365" s="8">
        <f>COUNTA(C366)</f>
        <v>1</v>
      </c>
      <c r="D365" s="8"/>
      <c r="E365" s="8">
        <f>COUNTA(E366)</f>
        <v>1</v>
      </c>
      <c r="F365" s="17"/>
      <c r="G365" s="14" t="s">
        <v>111</v>
      </c>
      <c r="H365" s="14" t="s">
        <v>112</v>
      </c>
    </row>
    <row r="366" spans="1:8" ht="66.75" customHeight="1" x14ac:dyDescent="0.2">
      <c r="A366" s="14">
        <v>313</v>
      </c>
      <c r="B366" s="16" t="s">
        <v>931</v>
      </c>
      <c r="C366" s="17" t="s">
        <v>932</v>
      </c>
      <c r="D366" s="17" t="s">
        <v>933</v>
      </c>
      <c r="E366" s="14" t="s">
        <v>8</v>
      </c>
      <c r="F366" s="17" t="s">
        <v>907</v>
      </c>
      <c r="G366" s="14" t="s">
        <v>111</v>
      </c>
      <c r="H366" s="14" t="s">
        <v>112</v>
      </c>
    </row>
    <row r="367" spans="1:8" ht="30.75" customHeight="1" x14ac:dyDescent="0.2">
      <c r="A367" s="13" t="s">
        <v>934</v>
      </c>
      <c r="B367" s="9" t="s">
        <v>935</v>
      </c>
      <c r="C367" s="8">
        <f>COUNTA(C368)</f>
        <v>1</v>
      </c>
      <c r="D367" s="8"/>
      <c r="E367" s="8">
        <f>COUNTA(E368)</f>
        <v>1</v>
      </c>
      <c r="F367" s="10"/>
      <c r="G367" s="14" t="s">
        <v>111</v>
      </c>
      <c r="H367" s="14" t="s">
        <v>112</v>
      </c>
    </row>
    <row r="368" spans="1:8" ht="64.5" customHeight="1" x14ac:dyDescent="0.2">
      <c r="A368" s="14">
        <v>314</v>
      </c>
      <c r="B368" s="16" t="s">
        <v>936</v>
      </c>
      <c r="C368" s="17" t="s">
        <v>937</v>
      </c>
      <c r="D368" s="17" t="s">
        <v>938</v>
      </c>
      <c r="E368" s="31" t="s">
        <v>8</v>
      </c>
      <c r="F368" s="17" t="s">
        <v>939</v>
      </c>
      <c r="G368" s="14" t="s">
        <v>111</v>
      </c>
      <c r="H368" s="14" t="s">
        <v>112</v>
      </c>
    </row>
    <row r="369" spans="1:8" ht="30.75" customHeight="1" x14ac:dyDescent="0.2">
      <c r="A369" s="13" t="s">
        <v>940</v>
      </c>
      <c r="B369" s="9" t="s">
        <v>941</v>
      </c>
      <c r="C369" s="8">
        <f>COUNTA(#REF!)</f>
        <v>1</v>
      </c>
      <c r="D369" s="8"/>
      <c r="E369" s="8">
        <f>COUNTA(E370:E372)</f>
        <v>3</v>
      </c>
      <c r="F369" s="10"/>
      <c r="G369" s="14" t="s">
        <v>111</v>
      </c>
      <c r="H369" s="14" t="s">
        <v>112</v>
      </c>
    </row>
    <row r="370" spans="1:8" ht="30.75" customHeight="1" x14ac:dyDescent="0.2">
      <c r="A370" s="17">
        <v>315</v>
      </c>
      <c r="B370" s="16" t="s">
        <v>942</v>
      </c>
      <c r="C370" s="50" t="s">
        <v>943</v>
      </c>
      <c r="D370" s="50" t="s">
        <v>944</v>
      </c>
      <c r="E370" s="17" t="s">
        <v>8</v>
      </c>
      <c r="F370" s="17" t="s">
        <v>945</v>
      </c>
      <c r="G370" s="14" t="s">
        <v>111</v>
      </c>
      <c r="H370" s="14" t="s">
        <v>112</v>
      </c>
    </row>
    <row r="371" spans="1:8" ht="30.75" customHeight="1" x14ac:dyDescent="0.2">
      <c r="A371" s="17">
        <v>316</v>
      </c>
      <c r="B371" s="16" t="s">
        <v>946</v>
      </c>
      <c r="C371" s="50"/>
      <c r="D371" s="50"/>
      <c r="E371" s="17" t="s">
        <v>8</v>
      </c>
      <c r="F371" s="17" t="s">
        <v>945</v>
      </c>
      <c r="G371" s="14" t="s">
        <v>111</v>
      </c>
      <c r="H371" s="14" t="s">
        <v>112</v>
      </c>
    </row>
    <row r="372" spans="1:8" ht="30.75" customHeight="1" x14ac:dyDescent="0.2">
      <c r="A372" s="17">
        <v>317</v>
      </c>
      <c r="B372" s="16" t="s">
        <v>947</v>
      </c>
      <c r="C372" s="50"/>
      <c r="D372" s="50"/>
      <c r="E372" s="17" t="s">
        <v>8</v>
      </c>
      <c r="F372" s="17" t="s">
        <v>945</v>
      </c>
      <c r="G372" s="14" t="s">
        <v>111</v>
      </c>
      <c r="H372" s="14" t="s">
        <v>112</v>
      </c>
    </row>
    <row r="373" spans="1:8" ht="30.75" customHeight="1" x14ac:dyDescent="0.2">
      <c r="A373" s="13" t="s">
        <v>948</v>
      </c>
      <c r="B373" s="9" t="s">
        <v>949</v>
      </c>
      <c r="C373" s="8">
        <f>COUNTA(C374:C374)</f>
        <v>1</v>
      </c>
      <c r="D373" s="8"/>
      <c r="E373" s="8">
        <f>COUNTA(E374:E374)</f>
        <v>1</v>
      </c>
      <c r="F373" s="17"/>
      <c r="G373" s="14" t="s">
        <v>111</v>
      </c>
      <c r="H373" s="14" t="s">
        <v>112</v>
      </c>
    </row>
    <row r="374" spans="1:8" ht="38.25" x14ac:dyDescent="0.2">
      <c r="A374" s="25">
        <v>318</v>
      </c>
      <c r="B374" s="23" t="s">
        <v>950</v>
      </c>
      <c r="C374" s="24" t="s">
        <v>951</v>
      </c>
      <c r="D374" s="17" t="s">
        <v>952</v>
      </c>
      <c r="E374" s="24" t="s">
        <v>8</v>
      </c>
      <c r="F374" s="24" t="s">
        <v>953</v>
      </c>
      <c r="G374" s="14" t="s">
        <v>111</v>
      </c>
      <c r="H374" s="14" t="s">
        <v>112</v>
      </c>
    </row>
    <row r="375" spans="1:8" ht="30.75" customHeight="1" x14ac:dyDescent="0.2">
      <c r="A375" s="13" t="s">
        <v>954</v>
      </c>
      <c r="B375" s="9" t="s">
        <v>955</v>
      </c>
      <c r="C375" s="8">
        <f>COUNTA(C376:C376)</f>
        <v>1</v>
      </c>
      <c r="D375" s="8"/>
      <c r="E375" s="8">
        <f>COUNTA(E376:E376)</f>
        <v>1</v>
      </c>
      <c r="F375" s="10"/>
      <c r="G375" s="14" t="s">
        <v>111</v>
      </c>
      <c r="H375" s="14" t="s">
        <v>112</v>
      </c>
    </row>
    <row r="376" spans="1:8" ht="38.25" x14ac:dyDescent="0.2">
      <c r="A376" s="25">
        <v>319</v>
      </c>
      <c r="B376" s="23" t="s">
        <v>956</v>
      </c>
      <c r="C376" s="32" t="s">
        <v>957</v>
      </c>
      <c r="D376" s="33" t="s">
        <v>958</v>
      </c>
      <c r="E376" s="24" t="s">
        <v>8</v>
      </c>
      <c r="F376" s="24" t="s">
        <v>953</v>
      </c>
      <c r="G376" s="14" t="s">
        <v>111</v>
      </c>
      <c r="H376" s="14" t="s">
        <v>112</v>
      </c>
    </row>
    <row r="377" spans="1:8" ht="30.75" customHeight="1" x14ac:dyDescent="0.2">
      <c r="A377" s="13" t="s">
        <v>959</v>
      </c>
      <c r="B377" s="9" t="s">
        <v>960</v>
      </c>
      <c r="C377" s="8">
        <f>COUNTA(C378:C378)</f>
        <v>1</v>
      </c>
      <c r="D377" s="8"/>
      <c r="E377" s="8">
        <f>COUNTA(E378:E378)</f>
        <v>1</v>
      </c>
      <c r="F377" s="10"/>
      <c r="G377" s="14" t="s">
        <v>111</v>
      </c>
      <c r="H377" s="14" t="s">
        <v>112</v>
      </c>
    </row>
    <row r="378" spans="1:8" ht="38.25" x14ac:dyDescent="0.2">
      <c r="A378" s="25">
        <v>320</v>
      </c>
      <c r="B378" s="16" t="s">
        <v>961</v>
      </c>
      <c r="C378" s="17" t="s">
        <v>962</v>
      </c>
      <c r="D378" s="17" t="s">
        <v>963</v>
      </c>
      <c r="E378" s="14" t="s">
        <v>8</v>
      </c>
      <c r="F378" s="26" t="s">
        <v>964</v>
      </c>
      <c r="G378" s="14" t="s">
        <v>147</v>
      </c>
      <c r="H378" s="14" t="s">
        <v>112</v>
      </c>
    </row>
    <row r="379" spans="1:8" ht="30.75" customHeight="1" x14ac:dyDescent="0.2">
      <c r="A379" s="13" t="s">
        <v>965</v>
      </c>
      <c r="B379" s="9" t="s">
        <v>966</v>
      </c>
      <c r="C379" s="8">
        <f>COUNTA(C380:C382)</f>
        <v>2</v>
      </c>
      <c r="D379" s="8"/>
      <c r="E379" s="8">
        <f>COUNTA(E380:E382)</f>
        <v>3</v>
      </c>
      <c r="F379" s="10"/>
      <c r="G379" s="14" t="s">
        <v>111</v>
      </c>
      <c r="H379" s="14" t="s">
        <v>112</v>
      </c>
    </row>
    <row r="380" spans="1:8" ht="64.5" customHeight="1" x14ac:dyDescent="0.2">
      <c r="A380" s="17">
        <v>321</v>
      </c>
      <c r="B380" s="16" t="s">
        <v>967</v>
      </c>
      <c r="C380" s="17" t="s">
        <v>968</v>
      </c>
      <c r="D380" s="17" t="s">
        <v>969</v>
      </c>
      <c r="E380" s="17" t="s">
        <v>8</v>
      </c>
      <c r="F380" s="17" t="s">
        <v>970</v>
      </c>
      <c r="G380" s="14" t="s">
        <v>111</v>
      </c>
      <c r="H380" s="14" t="s">
        <v>112</v>
      </c>
    </row>
    <row r="381" spans="1:8" ht="42" customHeight="1" x14ac:dyDescent="0.2">
      <c r="A381" s="17">
        <v>322</v>
      </c>
      <c r="B381" s="16" t="s">
        <v>971</v>
      </c>
      <c r="C381" s="50" t="s">
        <v>972</v>
      </c>
      <c r="D381" s="50" t="s">
        <v>973</v>
      </c>
      <c r="E381" s="10" t="s">
        <v>7</v>
      </c>
      <c r="F381" s="10" t="s">
        <v>974</v>
      </c>
      <c r="G381" s="14" t="s">
        <v>111</v>
      </c>
      <c r="H381" s="14" t="s">
        <v>112</v>
      </c>
    </row>
    <row r="382" spans="1:8" ht="36.75" customHeight="1" x14ac:dyDescent="0.2">
      <c r="A382" s="17">
        <v>323</v>
      </c>
      <c r="B382" s="16" t="s">
        <v>975</v>
      </c>
      <c r="C382" s="50"/>
      <c r="D382" s="53"/>
      <c r="E382" s="10" t="s">
        <v>7</v>
      </c>
      <c r="F382" s="10" t="s">
        <v>974</v>
      </c>
      <c r="G382" s="14" t="s">
        <v>111</v>
      </c>
      <c r="H382" s="14" t="s">
        <v>112</v>
      </c>
    </row>
    <row r="383" spans="1:8" ht="30.75" customHeight="1" x14ac:dyDescent="0.2">
      <c r="A383" s="13" t="s">
        <v>976</v>
      </c>
      <c r="B383" s="9" t="s">
        <v>977</v>
      </c>
      <c r="C383" s="8">
        <f>COUNTA(C384:C385)</f>
        <v>2</v>
      </c>
      <c r="D383" s="8"/>
      <c r="E383" s="8">
        <f>COUNTA(E384:E385)</f>
        <v>2</v>
      </c>
      <c r="F383" s="10"/>
      <c r="G383" s="14" t="s">
        <v>111</v>
      </c>
      <c r="H383" s="14" t="s">
        <v>112</v>
      </c>
    </row>
    <row r="384" spans="1:8" ht="25.5" x14ac:dyDescent="0.2">
      <c r="A384" s="17">
        <v>324</v>
      </c>
      <c r="B384" s="16" t="s">
        <v>978</v>
      </c>
      <c r="C384" s="17" t="s">
        <v>979</v>
      </c>
      <c r="D384" s="17" t="s">
        <v>980</v>
      </c>
      <c r="E384" s="17" t="s">
        <v>8</v>
      </c>
      <c r="F384" s="17" t="s">
        <v>970</v>
      </c>
      <c r="G384" s="14" t="s">
        <v>111</v>
      </c>
      <c r="H384" s="14" t="s">
        <v>112</v>
      </c>
    </row>
    <row r="385" spans="1:8" ht="25.5" x14ac:dyDescent="0.2">
      <c r="A385" s="17">
        <v>325</v>
      </c>
      <c r="B385" s="16" t="s">
        <v>981</v>
      </c>
      <c r="C385" s="17" t="s">
        <v>982</v>
      </c>
      <c r="D385" s="17" t="s">
        <v>983</v>
      </c>
      <c r="E385" s="17" t="s">
        <v>8</v>
      </c>
      <c r="F385" s="17" t="s">
        <v>984</v>
      </c>
      <c r="G385" s="14" t="s">
        <v>111</v>
      </c>
      <c r="H385" s="14" t="s">
        <v>112</v>
      </c>
    </row>
    <row r="386" spans="1:8" ht="30.75" customHeight="1" x14ac:dyDescent="0.2">
      <c r="A386" s="13" t="s">
        <v>985</v>
      </c>
      <c r="B386" s="9" t="s">
        <v>986</v>
      </c>
      <c r="C386" s="8">
        <f>COUNTA(C387:C389)</f>
        <v>3</v>
      </c>
      <c r="D386" s="8"/>
      <c r="E386" s="8">
        <f>COUNTA(E387:E389)</f>
        <v>3</v>
      </c>
      <c r="F386" s="10"/>
      <c r="G386" s="14" t="s">
        <v>111</v>
      </c>
      <c r="H386" s="14" t="s">
        <v>112</v>
      </c>
    </row>
    <row r="387" spans="1:8" ht="63" customHeight="1" x14ac:dyDescent="0.2">
      <c r="A387" s="17">
        <v>326</v>
      </c>
      <c r="B387" s="16" t="s">
        <v>987</v>
      </c>
      <c r="C387" s="17" t="s">
        <v>988</v>
      </c>
      <c r="D387" s="17" t="s">
        <v>989</v>
      </c>
      <c r="E387" s="17" t="s">
        <v>8</v>
      </c>
      <c r="F387" s="17" t="s">
        <v>984</v>
      </c>
      <c r="G387" s="14" t="s">
        <v>111</v>
      </c>
      <c r="H387" s="14" t="s">
        <v>112</v>
      </c>
    </row>
    <row r="388" spans="1:8" ht="60.75" customHeight="1" x14ac:dyDescent="0.2">
      <c r="A388" s="17">
        <v>327</v>
      </c>
      <c r="B388" s="16" t="s">
        <v>990</v>
      </c>
      <c r="C388" s="17" t="s">
        <v>991</v>
      </c>
      <c r="D388" s="17" t="s">
        <v>992</v>
      </c>
      <c r="E388" s="17" t="s">
        <v>8</v>
      </c>
      <c r="F388" s="17" t="s">
        <v>984</v>
      </c>
      <c r="G388" s="14" t="s">
        <v>111</v>
      </c>
      <c r="H388" s="14" t="s">
        <v>112</v>
      </c>
    </row>
    <row r="389" spans="1:8" ht="56.25" customHeight="1" x14ac:dyDescent="0.2">
      <c r="A389" s="17">
        <v>328</v>
      </c>
      <c r="B389" s="16" t="s">
        <v>990</v>
      </c>
      <c r="C389" s="17" t="s">
        <v>993</v>
      </c>
      <c r="D389" s="17" t="s">
        <v>994</v>
      </c>
      <c r="E389" s="17" t="s">
        <v>8</v>
      </c>
      <c r="F389" s="17" t="s">
        <v>984</v>
      </c>
      <c r="G389" s="14" t="s">
        <v>111</v>
      </c>
      <c r="H389" s="14" t="s">
        <v>112</v>
      </c>
    </row>
    <row r="390" spans="1:8" ht="30.75" customHeight="1" x14ac:dyDescent="0.2">
      <c r="A390" s="13" t="s">
        <v>995</v>
      </c>
      <c r="B390" s="9" t="s">
        <v>996</v>
      </c>
      <c r="C390" s="8">
        <f>COUNTA(C391:C405)</f>
        <v>6</v>
      </c>
      <c r="D390" s="8"/>
      <c r="E390" s="8">
        <f>COUNTA(E391:E405)</f>
        <v>15</v>
      </c>
      <c r="F390" s="10"/>
      <c r="G390" s="14" t="s">
        <v>111</v>
      </c>
      <c r="H390" s="14" t="s">
        <v>112</v>
      </c>
    </row>
    <row r="391" spans="1:8" ht="30.75" customHeight="1" x14ac:dyDescent="0.2">
      <c r="A391" s="17">
        <v>329</v>
      </c>
      <c r="B391" s="16" t="s">
        <v>997</v>
      </c>
      <c r="C391" s="50" t="s">
        <v>998</v>
      </c>
      <c r="D391" s="50" t="s">
        <v>999</v>
      </c>
      <c r="E391" s="17" t="s">
        <v>8</v>
      </c>
      <c r="F391" s="17" t="s">
        <v>984</v>
      </c>
      <c r="G391" s="14" t="s">
        <v>111</v>
      </c>
      <c r="H391" s="14" t="s">
        <v>112</v>
      </c>
    </row>
    <row r="392" spans="1:8" ht="30.75" customHeight="1" x14ac:dyDescent="0.2">
      <c r="A392" s="17">
        <v>330</v>
      </c>
      <c r="B392" s="16" t="s">
        <v>1000</v>
      </c>
      <c r="C392" s="50"/>
      <c r="D392" s="50"/>
      <c r="E392" s="17" t="s">
        <v>8</v>
      </c>
      <c r="F392" s="17" t="s">
        <v>984</v>
      </c>
      <c r="G392" s="14" t="s">
        <v>111</v>
      </c>
      <c r="H392" s="14" t="s">
        <v>112</v>
      </c>
    </row>
    <row r="393" spans="1:8" ht="54.75" customHeight="1" x14ac:dyDescent="0.2">
      <c r="A393" s="17">
        <v>331</v>
      </c>
      <c r="B393" s="16" t="s">
        <v>1001</v>
      </c>
      <c r="C393" s="50" t="s">
        <v>1002</v>
      </c>
      <c r="D393" s="50" t="s">
        <v>1003</v>
      </c>
      <c r="E393" s="17" t="s">
        <v>8</v>
      </c>
      <c r="F393" s="17" t="s">
        <v>984</v>
      </c>
      <c r="G393" s="14" t="s">
        <v>111</v>
      </c>
      <c r="H393" s="14" t="s">
        <v>112</v>
      </c>
    </row>
    <row r="394" spans="1:8" ht="25.5" x14ac:dyDescent="0.2">
      <c r="A394" s="17">
        <v>332</v>
      </c>
      <c r="B394" s="16" t="s">
        <v>1004</v>
      </c>
      <c r="C394" s="50"/>
      <c r="D394" s="50"/>
      <c r="E394" s="17" t="s">
        <v>8</v>
      </c>
      <c r="F394" s="17" t="s">
        <v>1005</v>
      </c>
      <c r="G394" s="14" t="s">
        <v>111</v>
      </c>
      <c r="H394" s="14" t="s">
        <v>112</v>
      </c>
    </row>
    <row r="395" spans="1:8" ht="57.75" customHeight="1" x14ac:dyDescent="0.2">
      <c r="A395" s="17">
        <v>333</v>
      </c>
      <c r="B395" s="16" t="s">
        <v>1006</v>
      </c>
      <c r="C395" s="17" t="s">
        <v>1007</v>
      </c>
      <c r="D395" s="17" t="s">
        <v>1008</v>
      </c>
      <c r="E395" s="17" t="s">
        <v>8</v>
      </c>
      <c r="F395" s="17" t="s">
        <v>1009</v>
      </c>
      <c r="G395" s="14" t="s">
        <v>111</v>
      </c>
      <c r="H395" s="14" t="s">
        <v>112</v>
      </c>
    </row>
    <row r="396" spans="1:8" ht="30.75" customHeight="1" x14ac:dyDescent="0.2">
      <c r="A396" s="17">
        <v>334</v>
      </c>
      <c r="B396" s="16" t="s">
        <v>1010</v>
      </c>
      <c r="C396" s="50" t="s">
        <v>1011</v>
      </c>
      <c r="D396" s="50" t="s">
        <v>1012</v>
      </c>
      <c r="E396" s="17" t="s">
        <v>8</v>
      </c>
      <c r="F396" s="17" t="s">
        <v>1005</v>
      </c>
      <c r="G396" s="14" t="s">
        <v>111</v>
      </c>
      <c r="H396" s="14" t="s">
        <v>112</v>
      </c>
    </row>
    <row r="397" spans="1:8" ht="30.75" customHeight="1" x14ac:dyDescent="0.2">
      <c r="A397" s="17">
        <v>335</v>
      </c>
      <c r="B397" s="16" t="s">
        <v>1013</v>
      </c>
      <c r="C397" s="50"/>
      <c r="D397" s="50"/>
      <c r="E397" s="17" t="s">
        <v>8</v>
      </c>
      <c r="F397" s="17" t="s">
        <v>1005</v>
      </c>
      <c r="G397" s="14" t="s">
        <v>111</v>
      </c>
      <c r="H397" s="14" t="s">
        <v>112</v>
      </c>
    </row>
    <row r="398" spans="1:8" ht="30.75" customHeight="1" x14ac:dyDescent="0.2">
      <c r="A398" s="17">
        <v>336</v>
      </c>
      <c r="B398" s="16" t="s">
        <v>1014</v>
      </c>
      <c r="C398" s="50" t="s">
        <v>1015</v>
      </c>
      <c r="D398" s="50" t="s">
        <v>1016</v>
      </c>
      <c r="E398" s="10" t="s">
        <v>7</v>
      </c>
      <c r="F398" s="10" t="s">
        <v>1017</v>
      </c>
      <c r="G398" s="14" t="s">
        <v>111</v>
      </c>
      <c r="H398" s="14" t="s">
        <v>112</v>
      </c>
    </row>
    <row r="399" spans="1:8" ht="30.75" customHeight="1" x14ac:dyDescent="0.2">
      <c r="A399" s="17">
        <v>337</v>
      </c>
      <c r="B399" s="16" t="s">
        <v>1018</v>
      </c>
      <c r="C399" s="50"/>
      <c r="D399" s="53"/>
      <c r="E399" s="10" t="s">
        <v>7</v>
      </c>
      <c r="F399" s="10" t="s">
        <v>1017</v>
      </c>
      <c r="G399" s="14" t="s">
        <v>111</v>
      </c>
      <c r="H399" s="14" t="s">
        <v>112</v>
      </c>
    </row>
    <row r="400" spans="1:8" ht="30.75" customHeight="1" x14ac:dyDescent="0.2">
      <c r="A400" s="17">
        <v>338</v>
      </c>
      <c r="B400" s="16" t="s">
        <v>1019</v>
      </c>
      <c r="C400" s="50"/>
      <c r="D400" s="53"/>
      <c r="E400" s="10" t="s">
        <v>7</v>
      </c>
      <c r="F400" s="10" t="s">
        <v>1017</v>
      </c>
      <c r="G400" s="14" t="s">
        <v>111</v>
      </c>
      <c r="H400" s="14" t="s">
        <v>112</v>
      </c>
    </row>
    <row r="401" spans="1:8" ht="30.75" customHeight="1" x14ac:dyDescent="0.2">
      <c r="A401" s="17">
        <v>339</v>
      </c>
      <c r="B401" s="16" t="s">
        <v>1020</v>
      </c>
      <c r="C401" s="50" t="s">
        <v>1021</v>
      </c>
      <c r="D401" s="50" t="s">
        <v>1022</v>
      </c>
      <c r="E401" s="10" t="s">
        <v>7</v>
      </c>
      <c r="F401" s="10" t="s">
        <v>1017</v>
      </c>
      <c r="G401" s="14" t="s">
        <v>111</v>
      </c>
      <c r="H401" s="14" t="s">
        <v>112</v>
      </c>
    </row>
    <row r="402" spans="1:8" ht="30.75" customHeight="1" x14ac:dyDescent="0.2">
      <c r="A402" s="17">
        <v>340</v>
      </c>
      <c r="B402" s="16" t="s">
        <v>1023</v>
      </c>
      <c r="C402" s="50"/>
      <c r="D402" s="50"/>
      <c r="E402" s="10" t="s">
        <v>7</v>
      </c>
      <c r="F402" s="10" t="s">
        <v>1017</v>
      </c>
      <c r="G402" s="14" t="s">
        <v>111</v>
      </c>
      <c r="H402" s="14" t="s">
        <v>112</v>
      </c>
    </row>
    <row r="403" spans="1:8" ht="30.75" customHeight="1" x14ac:dyDescent="0.2">
      <c r="A403" s="17">
        <v>341</v>
      </c>
      <c r="B403" s="16" t="s">
        <v>1024</v>
      </c>
      <c r="C403" s="50"/>
      <c r="D403" s="50"/>
      <c r="E403" s="10" t="s">
        <v>7</v>
      </c>
      <c r="F403" s="10" t="s">
        <v>1017</v>
      </c>
      <c r="G403" s="14" t="s">
        <v>111</v>
      </c>
      <c r="H403" s="14" t="s">
        <v>112</v>
      </c>
    </row>
    <row r="404" spans="1:8" ht="30.75" customHeight="1" x14ac:dyDescent="0.2">
      <c r="A404" s="17">
        <v>342</v>
      </c>
      <c r="B404" s="16" t="s">
        <v>1025</v>
      </c>
      <c r="C404" s="50"/>
      <c r="D404" s="50"/>
      <c r="E404" s="10" t="s">
        <v>7</v>
      </c>
      <c r="F404" s="10" t="s">
        <v>1017</v>
      </c>
      <c r="G404" s="14" t="s">
        <v>111</v>
      </c>
      <c r="H404" s="14" t="s">
        <v>112</v>
      </c>
    </row>
    <row r="405" spans="1:8" ht="55.5" customHeight="1" x14ac:dyDescent="0.2">
      <c r="A405" s="17">
        <v>343</v>
      </c>
      <c r="B405" s="16" t="s">
        <v>1026</v>
      </c>
      <c r="C405" s="50"/>
      <c r="D405" s="50"/>
      <c r="E405" s="17" t="s">
        <v>8</v>
      </c>
      <c r="F405" s="17" t="s">
        <v>1009</v>
      </c>
      <c r="G405" s="14" t="s">
        <v>111</v>
      </c>
      <c r="H405" s="14" t="s">
        <v>112</v>
      </c>
    </row>
    <row r="406" spans="1:8" ht="30.75" customHeight="1" x14ac:dyDescent="0.2">
      <c r="A406" s="13" t="s">
        <v>1027</v>
      </c>
      <c r="B406" s="9" t="s">
        <v>1028</v>
      </c>
      <c r="C406" s="8">
        <f>COUNTA(C407:C408)</f>
        <v>2</v>
      </c>
      <c r="D406" s="8"/>
      <c r="E406" s="8">
        <f>COUNTA(E407:E408)</f>
        <v>2</v>
      </c>
      <c r="F406" s="10"/>
      <c r="G406" s="14" t="s">
        <v>111</v>
      </c>
      <c r="H406" s="14" t="s">
        <v>112</v>
      </c>
    </row>
    <row r="407" spans="1:8" ht="25.5" x14ac:dyDescent="0.2">
      <c r="A407" s="17">
        <v>344</v>
      </c>
      <c r="B407" s="16" t="s">
        <v>1029</v>
      </c>
      <c r="C407" s="17" t="s">
        <v>1030</v>
      </c>
      <c r="D407" s="14" t="s">
        <v>1031</v>
      </c>
      <c r="E407" s="17" t="s">
        <v>8</v>
      </c>
      <c r="F407" s="17" t="s">
        <v>1032</v>
      </c>
      <c r="G407" s="14" t="s">
        <v>111</v>
      </c>
      <c r="H407" s="14" t="s">
        <v>112</v>
      </c>
    </row>
    <row r="408" spans="1:8" ht="25.5" x14ac:dyDescent="0.2">
      <c r="A408" s="17">
        <v>345</v>
      </c>
      <c r="B408" s="16" t="s">
        <v>1033</v>
      </c>
      <c r="C408" s="17" t="s">
        <v>1034</v>
      </c>
      <c r="D408" s="14" t="s">
        <v>1035</v>
      </c>
      <c r="E408" s="17" t="s">
        <v>8</v>
      </c>
      <c r="F408" s="17" t="s">
        <v>1036</v>
      </c>
      <c r="G408" s="14" t="s">
        <v>111</v>
      </c>
      <c r="H408" s="14" t="s">
        <v>112</v>
      </c>
    </row>
    <row r="409" spans="1:8" ht="30.75" customHeight="1" x14ac:dyDescent="0.2">
      <c r="A409" s="13" t="s">
        <v>1037</v>
      </c>
      <c r="B409" s="9" t="s">
        <v>1038</v>
      </c>
      <c r="C409" s="8">
        <f>COUNTA(C410:C426)</f>
        <v>8</v>
      </c>
      <c r="D409" s="8"/>
      <c r="E409" s="8">
        <f>COUNTA(E410:E426)</f>
        <v>17</v>
      </c>
      <c r="F409" s="10"/>
      <c r="G409" s="14" t="s">
        <v>111</v>
      </c>
      <c r="H409" s="14" t="s">
        <v>112</v>
      </c>
    </row>
    <row r="410" spans="1:8" ht="25.5" x14ac:dyDescent="0.2">
      <c r="A410" s="17">
        <v>346</v>
      </c>
      <c r="B410" s="16" t="s">
        <v>1039</v>
      </c>
      <c r="C410" s="17" t="s">
        <v>1040</v>
      </c>
      <c r="D410" s="17" t="s">
        <v>1041</v>
      </c>
      <c r="E410" s="17" t="s">
        <v>8</v>
      </c>
      <c r="F410" s="17" t="s">
        <v>1042</v>
      </c>
      <c r="G410" s="14" t="s">
        <v>111</v>
      </c>
      <c r="H410" s="14" t="s">
        <v>112</v>
      </c>
    </row>
    <row r="411" spans="1:8" ht="30.75" customHeight="1" x14ac:dyDescent="0.2">
      <c r="A411" s="17">
        <v>347</v>
      </c>
      <c r="B411" s="16" t="s">
        <v>1043</v>
      </c>
      <c r="C411" s="50" t="s">
        <v>1044</v>
      </c>
      <c r="D411" s="50" t="s">
        <v>1045</v>
      </c>
      <c r="E411" s="17" t="s">
        <v>8</v>
      </c>
      <c r="F411" s="17" t="s">
        <v>1046</v>
      </c>
      <c r="G411" s="14" t="s">
        <v>111</v>
      </c>
      <c r="H411" s="14" t="s">
        <v>112</v>
      </c>
    </row>
    <row r="412" spans="1:8" ht="42.75" customHeight="1" x14ac:dyDescent="0.2">
      <c r="A412" s="17">
        <v>348</v>
      </c>
      <c r="B412" s="16" t="s">
        <v>1047</v>
      </c>
      <c r="C412" s="50"/>
      <c r="D412" s="50"/>
      <c r="E412" s="17" t="s">
        <v>8</v>
      </c>
      <c r="F412" s="17" t="s">
        <v>1048</v>
      </c>
      <c r="G412" s="14" t="s">
        <v>111</v>
      </c>
      <c r="H412" s="14" t="s">
        <v>112</v>
      </c>
    </row>
    <row r="413" spans="1:8" ht="38.25" x14ac:dyDescent="0.2">
      <c r="A413" s="17">
        <v>349</v>
      </c>
      <c r="B413" s="16" t="s">
        <v>1049</v>
      </c>
      <c r="C413" s="17" t="s">
        <v>1050</v>
      </c>
      <c r="D413" s="17" t="s">
        <v>1051</v>
      </c>
      <c r="E413" s="17" t="s">
        <v>8</v>
      </c>
      <c r="F413" s="17" t="s">
        <v>1052</v>
      </c>
      <c r="G413" s="14" t="s">
        <v>111</v>
      </c>
      <c r="H413" s="14" t="s">
        <v>112</v>
      </c>
    </row>
    <row r="414" spans="1:8" ht="25.5" x14ac:dyDescent="0.2">
      <c r="A414" s="17">
        <v>350</v>
      </c>
      <c r="B414" s="16" t="s">
        <v>1053</v>
      </c>
      <c r="C414" s="17" t="s">
        <v>1054</v>
      </c>
      <c r="D414" s="17" t="s">
        <v>1055</v>
      </c>
      <c r="E414" s="17" t="s">
        <v>8</v>
      </c>
      <c r="F414" s="17" t="s">
        <v>1052</v>
      </c>
      <c r="G414" s="14" t="s">
        <v>111</v>
      </c>
      <c r="H414" s="14" t="s">
        <v>112</v>
      </c>
    </row>
    <row r="415" spans="1:8" ht="25.5" x14ac:dyDescent="0.2">
      <c r="A415" s="17">
        <v>351</v>
      </c>
      <c r="B415" s="16" t="s">
        <v>1056</v>
      </c>
      <c r="C415" s="17" t="s">
        <v>1057</v>
      </c>
      <c r="D415" s="17" t="s">
        <v>1058</v>
      </c>
      <c r="E415" s="17" t="s">
        <v>8</v>
      </c>
      <c r="F415" s="17" t="s">
        <v>1052</v>
      </c>
      <c r="G415" s="14" t="s">
        <v>1059</v>
      </c>
      <c r="H415" s="14" t="s">
        <v>112</v>
      </c>
    </row>
    <row r="416" spans="1:8" ht="30.75" customHeight="1" x14ac:dyDescent="0.2">
      <c r="A416" s="17">
        <v>352</v>
      </c>
      <c r="B416" s="16" t="s">
        <v>1060</v>
      </c>
      <c r="C416" s="50" t="s">
        <v>1061</v>
      </c>
      <c r="D416" s="50" t="s">
        <v>1062</v>
      </c>
      <c r="E416" s="17" t="s">
        <v>8</v>
      </c>
      <c r="F416" s="17" t="s">
        <v>1063</v>
      </c>
      <c r="G416" s="14" t="s">
        <v>111</v>
      </c>
      <c r="H416" s="14" t="s">
        <v>112</v>
      </c>
    </row>
    <row r="417" spans="1:8" ht="30.75" customHeight="1" x14ac:dyDescent="0.2">
      <c r="A417" s="17">
        <v>353</v>
      </c>
      <c r="B417" s="16" t="s">
        <v>1064</v>
      </c>
      <c r="C417" s="50"/>
      <c r="D417" s="50"/>
      <c r="E417" s="17" t="s">
        <v>8</v>
      </c>
      <c r="F417" s="17" t="s">
        <v>1063</v>
      </c>
      <c r="G417" s="14" t="s">
        <v>111</v>
      </c>
      <c r="H417" s="14" t="s">
        <v>112</v>
      </c>
    </row>
    <row r="418" spans="1:8" ht="30.75" customHeight="1" x14ac:dyDescent="0.2">
      <c r="A418" s="17">
        <v>354</v>
      </c>
      <c r="B418" s="16" t="s">
        <v>1065</v>
      </c>
      <c r="C418" s="50"/>
      <c r="D418" s="50"/>
      <c r="E418" s="17" t="s">
        <v>8</v>
      </c>
      <c r="F418" s="17" t="s">
        <v>1063</v>
      </c>
      <c r="G418" s="14" t="s">
        <v>111</v>
      </c>
      <c r="H418" s="14" t="s">
        <v>112</v>
      </c>
    </row>
    <row r="419" spans="1:8" ht="30.75" customHeight="1" x14ac:dyDescent="0.2">
      <c r="A419" s="17">
        <v>355</v>
      </c>
      <c r="B419" s="16" t="s">
        <v>1066</v>
      </c>
      <c r="C419" s="50"/>
      <c r="D419" s="50"/>
      <c r="E419" s="17" t="s">
        <v>8</v>
      </c>
      <c r="F419" s="17" t="s">
        <v>1063</v>
      </c>
      <c r="G419" s="14" t="s">
        <v>111</v>
      </c>
      <c r="H419" s="14" t="s">
        <v>112</v>
      </c>
    </row>
    <row r="420" spans="1:8" ht="30.75" customHeight="1" x14ac:dyDescent="0.2">
      <c r="A420" s="17">
        <v>356</v>
      </c>
      <c r="B420" s="16" t="s">
        <v>1067</v>
      </c>
      <c r="C420" s="50"/>
      <c r="D420" s="50"/>
      <c r="E420" s="10" t="s">
        <v>7</v>
      </c>
      <c r="F420" s="10" t="s">
        <v>1017</v>
      </c>
      <c r="G420" s="14" t="s">
        <v>111</v>
      </c>
      <c r="H420" s="14" t="s">
        <v>112</v>
      </c>
    </row>
    <row r="421" spans="1:8" ht="30.75" customHeight="1" x14ac:dyDescent="0.2">
      <c r="A421" s="17">
        <v>357</v>
      </c>
      <c r="B421" s="16" t="s">
        <v>1068</v>
      </c>
      <c r="C421" s="50"/>
      <c r="D421" s="50"/>
      <c r="E421" s="10" t="s">
        <v>7</v>
      </c>
      <c r="F421" s="10" t="s">
        <v>1017</v>
      </c>
      <c r="G421" s="14" t="s">
        <v>111</v>
      </c>
      <c r="H421" s="14" t="s">
        <v>112</v>
      </c>
    </row>
    <row r="422" spans="1:8" ht="30.75" customHeight="1" x14ac:dyDescent="0.2">
      <c r="A422" s="17">
        <v>358</v>
      </c>
      <c r="B422" s="16" t="s">
        <v>1069</v>
      </c>
      <c r="C422" s="50"/>
      <c r="D422" s="50"/>
      <c r="E422" s="10" t="s">
        <v>7</v>
      </c>
      <c r="F422" s="10" t="s">
        <v>1017</v>
      </c>
      <c r="G422" s="14" t="s">
        <v>111</v>
      </c>
      <c r="H422" s="14" t="s">
        <v>112</v>
      </c>
    </row>
    <row r="423" spans="1:8" ht="30.75" customHeight="1" x14ac:dyDescent="0.2">
      <c r="A423" s="17">
        <v>359</v>
      </c>
      <c r="B423" s="16" t="s">
        <v>1070</v>
      </c>
      <c r="C423" s="50"/>
      <c r="D423" s="50"/>
      <c r="E423" s="10" t="s">
        <v>7</v>
      </c>
      <c r="F423" s="10" t="s">
        <v>1017</v>
      </c>
      <c r="G423" s="14" t="s">
        <v>111</v>
      </c>
      <c r="H423" s="14" t="s">
        <v>112</v>
      </c>
    </row>
    <row r="424" spans="1:8" ht="30.75" customHeight="1" x14ac:dyDescent="0.2">
      <c r="A424" s="17">
        <v>360</v>
      </c>
      <c r="B424" s="16" t="s">
        <v>1071</v>
      </c>
      <c r="C424" s="50"/>
      <c r="D424" s="50"/>
      <c r="E424" s="10" t="s">
        <v>7</v>
      </c>
      <c r="F424" s="10" t="s">
        <v>1017</v>
      </c>
      <c r="G424" s="14" t="s">
        <v>111</v>
      </c>
      <c r="H424" s="14" t="s">
        <v>112</v>
      </c>
    </row>
    <row r="425" spans="1:8" ht="25.5" x14ac:dyDescent="0.2">
      <c r="A425" s="17">
        <v>361</v>
      </c>
      <c r="B425" s="16" t="s">
        <v>1072</v>
      </c>
      <c r="C425" s="17" t="s">
        <v>1073</v>
      </c>
      <c r="D425" s="17" t="s">
        <v>1074</v>
      </c>
      <c r="E425" s="17" t="s">
        <v>8</v>
      </c>
      <c r="F425" s="17" t="s">
        <v>1075</v>
      </c>
      <c r="G425" s="14" t="s">
        <v>111</v>
      </c>
      <c r="H425" s="14" t="s">
        <v>112</v>
      </c>
    </row>
    <row r="426" spans="1:8" ht="25.5" x14ac:dyDescent="0.2">
      <c r="A426" s="17">
        <v>362</v>
      </c>
      <c r="B426" s="16" t="s">
        <v>1076</v>
      </c>
      <c r="C426" s="14" t="s">
        <v>1077</v>
      </c>
      <c r="D426" s="17" t="s">
        <v>1078</v>
      </c>
      <c r="E426" s="17" t="s">
        <v>8</v>
      </c>
      <c r="F426" s="17" t="s">
        <v>1075</v>
      </c>
      <c r="G426" s="14" t="s">
        <v>111</v>
      </c>
      <c r="H426" s="14" t="s">
        <v>112</v>
      </c>
    </row>
    <row r="427" spans="1:8" ht="30.75" customHeight="1" x14ac:dyDescent="0.2">
      <c r="A427" s="13" t="s">
        <v>1079</v>
      </c>
      <c r="B427" s="9" t="s">
        <v>1080</v>
      </c>
      <c r="C427" s="8">
        <f>COUNTA(C428:C430)</f>
        <v>2</v>
      </c>
      <c r="D427" s="8"/>
      <c r="E427" s="8">
        <f>COUNTA(E428:E430)</f>
        <v>3</v>
      </c>
      <c r="F427" s="10"/>
      <c r="G427" s="14" t="s">
        <v>111</v>
      </c>
      <c r="H427" s="14" t="s">
        <v>112</v>
      </c>
    </row>
    <row r="428" spans="1:8" ht="25.5" x14ac:dyDescent="0.2">
      <c r="A428" s="17">
        <v>363</v>
      </c>
      <c r="B428" s="16" t="s">
        <v>1081</v>
      </c>
      <c r="C428" s="17" t="s">
        <v>1082</v>
      </c>
      <c r="D428" s="17" t="s">
        <v>1083</v>
      </c>
      <c r="E428" s="17" t="s">
        <v>8</v>
      </c>
      <c r="F428" s="17" t="s">
        <v>1084</v>
      </c>
      <c r="G428" s="14" t="s">
        <v>111</v>
      </c>
      <c r="H428" s="14" t="s">
        <v>112</v>
      </c>
    </row>
    <row r="429" spans="1:8" ht="25.5" x14ac:dyDescent="0.2">
      <c r="A429" s="17">
        <v>364</v>
      </c>
      <c r="B429" s="16" t="s">
        <v>1085</v>
      </c>
      <c r="C429" s="50" t="s">
        <v>1086</v>
      </c>
      <c r="D429" s="50" t="s">
        <v>1087</v>
      </c>
      <c r="E429" s="17" t="s">
        <v>8</v>
      </c>
      <c r="F429" s="17" t="s">
        <v>1052</v>
      </c>
      <c r="G429" s="14" t="s">
        <v>111</v>
      </c>
      <c r="H429" s="14" t="s">
        <v>112</v>
      </c>
    </row>
    <row r="430" spans="1:8" ht="25.5" x14ac:dyDescent="0.2">
      <c r="A430" s="17">
        <v>365</v>
      </c>
      <c r="B430" s="16" t="s">
        <v>1088</v>
      </c>
      <c r="C430" s="50"/>
      <c r="D430" s="53"/>
      <c r="E430" s="17" t="s">
        <v>8</v>
      </c>
      <c r="F430" s="17" t="s">
        <v>1063</v>
      </c>
      <c r="G430" s="14" t="s">
        <v>147</v>
      </c>
      <c r="H430" s="14" t="s">
        <v>112</v>
      </c>
    </row>
    <row r="431" spans="1:8" ht="30.75" customHeight="1" x14ac:dyDescent="0.2">
      <c r="A431" s="13" t="s">
        <v>1089</v>
      </c>
      <c r="B431" s="9" t="s">
        <v>1090</v>
      </c>
      <c r="C431" s="8">
        <f>COUNTA(C432:C436)</f>
        <v>2</v>
      </c>
      <c r="D431" s="8"/>
      <c r="E431" s="8">
        <f>COUNTA(E432:E436)</f>
        <v>5</v>
      </c>
      <c r="F431" s="10"/>
      <c r="G431" s="14" t="s">
        <v>111</v>
      </c>
      <c r="H431" s="14" t="s">
        <v>112</v>
      </c>
    </row>
    <row r="432" spans="1:8" ht="25.5" x14ac:dyDescent="0.2">
      <c r="A432" s="17">
        <v>366</v>
      </c>
      <c r="B432" s="16" t="s">
        <v>1091</v>
      </c>
      <c r="C432" s="17" t="s">
        <v>1092</v>
      </c>
      <c r="D432" s="17" t="s">
        <v>1093</v>
      </c>
      <c r="E432" s="17" t="s">
        <v>8</v>
      </c>
      <c r="F432" s="17" t="s">
        <v>1094</v>
      </c>
      <c r="G432" s="14" t="s">
        <v>147</v>
      </c>
      <c r="H432" s="14" t="s">
        <v>112</v>
      </c>
    </row>
    <row r="433" spans="1:8" ht="50.25" customHeight="1" x14ac:dyDescent="0.2">
      <c r="A433" s="17">
        <v>367</v>
      </c>
      <c r="B433" s="16" t="s">
        <v>1095</v>
      </c>
      <c r="C433" s="50" t="s">
        <v>1096</v>
      </c>
      <c r="D433" s="50" t="s">
        <v>1097</v>
      </c>
      <c r="E433" s="17" t="s">
        <v>8</v>
      </c>
      <c r="F433" s="17" t="s">
        <v>1098</v>
      </c>
      <c r="G433" s="14" t="s">
        <v>147</v>
      </c>
      <c r="H433" s="14" t="s">
        <v>112</v>
      </c>
    </row>
    <row r="434" spans="1:8" ht="30.75" customHeight="1" x14ac:dyDescent="0.2">
      <c r="A434" s="17">
        <v>368</v>
      </c>
      <c r="B434" s="16" t="s">
        <v>1099</v>
      </c>
      <c r="C434" s="50"/>
      <c r="D434" s="53"/>
      <c r="E434" s="17" t="s">
        <v>8</v>
      </c>
      <c r="F434" s="17" t="s">
        <v>1098</v>
      </c>
      <c r="G434" s="14" t="s">
        <v>111</v>
      </c>
      <c r="H434" s="14" t="s">
        <v>112</v>
      </c>
    </row>
    <row r="435" spans="1:8" ht="30.75" customHeight="1" x14ac:dyDescent="0.2">
      <c r="A435" s="17">
        <v>369</v>
      </c>
      <c r="B435" s="16" t="s">
        <v>1100</v>
      </c>
      <c r="C435" s="50"/>
      <c r="D435" s="53"/>
      <c r="E435" s="17" t="s">
        <v>8</v>
      </c>
      <c r="F435" s="17" t="s">
        <v>1098</v>
      </c>
      <c r="G435" s="14" t="s">
        <v>111</v>
      </c>
      <c r="H435" s="14" t="s">
        <v>112</v>
      </c>
    </row>
    <row r="436" spans="1:8" ht="30.75" customHeight="1" x14ac:dyDescent="0.2">
      <c r="A436" s="17">
        <v>370</v>
      </c>
      <c r="B436" s="16" t="s">
        <v>1101</v>
      </c>
      <c r="C436" s="50"/>
      <c r="D436" s="53"/>
      <c r="E436" s="17" t="s">
        <v>8</v>
      </c>
      <c r="F436" s="17" t="s">
        <v>1098</v>
      </c>
      <c r="G436" s="14" t="s">
        <v>111</v>
      </c>
      <c r="H436" s="14" t="s">
        <v>112</v>
      </c>
    </row>
    <row r="437" spans="1:8" ht="30.75" customHeight="1" x14ac:dyDescent="0.2">
      <c r="A437" s="13" t="s">
        <v>1102</v>
      </c>
      <c r="B437" s="9" t="s">
        <v>1103</v>
      </c>
      <c r="C437" s="8">
        <f>COUNTA(#REF!)</f>
        <v>1</v>
      </c>
      <c r="D437" s="8"/>
      <c r="E437" s="8">
        <f>COUNTA(E438:E442)</f>
        <v>5</v>
      </c>
      <c r="F437" s="17"/>
      <c r="G437" s="14" t="s">
        <v>111</v>
      </c>
      <c r="H437" s="14" t="s">
        <v>112</v>
      </c>
    </row>
    <row r="438" spans="1:8" ht="30.75" customHeight="1" x14ac:dyDescent="0.2">
      <c r="A438" s="17">
        <v>371</v>
      </c>
      <c r="B438" s="16" t="s">
        <v>1104</v>
      </c>
      <c r="C438" s="50" t="s">
        <v>1105</v>
      </c>
      <c r="D438" s="50" t="s">
        <v>1106</v>
      </c>
      <c r="E438" s="17" t="s">
        <v>8</v>
      </c>
      <c r="F438" s="17" t="s">
        <v>1107</v>
      </c>
      <c r="G438" s="14" t="s">
        <v>147</v>
      </c>
      <c r="H438" s="14" t="s">
        <v>112</v>
      </c>
    </row>
    <row r="439" spans="1:8" ht="30.75" customHeight="1" x14ac:dyDescent="0.2">
      <c r="A439" s="17">
        <v>372</v>
      </c>
      <c r="B439" s="16" t="s">
        <v>1108</v>
      </c>
      <c r="C439" s="50"/>
      <c r="D439" s="50"/>
      <c r="E439" s="17" t="s">
        <v>8</v>
      </c>
      <c r="F439" s="17" t="s">
        <v>1107</v>
      </c>
      <c r="G439" s="14" t="s">
        <v>111</v>
      </c>
      <c r="H439" s="14" t="s">
        <v>112</v>
      </c>
    </row>
    <row r="440" spans="1:8" ht="30.75" customHeight="1" x14ac:dyDescent="0.2">
      <c r="A440" s="17">
        <v>373</v>
      </c>
      <c r="B440" s="16" t="s">
        <v>1109</v>
      </c>
      <c r="C440" s="50"/>
      <c r="D440" s="50"/>
      <c r="E440" s="17" t="s">
        <v>8</v>
      </c>
      <c r="F440" s="17" t="s">
        <v>1107</v>
      </c>
      <c r="G440" s="14" t="s">
        <v>147</v>
      </c>
      <c r="H440" s="14" t="s">
        <v>112</v>
      </c>
    </row>
    <row r="441" spans="1:8" ht="30.75" customHeight="1" x14ac:dyDescent="0.2">
      <c r="A441" s="17">
        <v>374</v>
      </c>
      <c r="B441" s="16" t="s">
        <v>1110</v>
      </c>
      <c r="C441" s="50"/>
      <c r="D441" s="50"/>
      <c r="E441" s="17" t="s">
        <v>8</v>
      </c>
      <c r="F441" s="17" t="s">
        <v>1107</v>
      </c>
      <c r="G441" s="14" t="s">
        <v>147</v>
      </c>
      <c r="H441" s="14" t="s">
        <v>112</v>
      </c>
    </row>
    <row r="442" spans="1:8" ht="30.75" customHeight="1" x14ac:dyDescent="0.2">
      <c r="A442" s="17">
        <v>375</v>
      </c>
      <c r="B442" s="16" t="s">
        <v>1111</v>
      </c>
      <c r="C442" s="50"/>
      <c r="D442" s="50"/>
      <c r="E442" s="17" t="s">
        <v>8</v>
      </c>
      <c r="F442" s="17" t="s">
        <v>1107</v>
      </c>
      <c r="G442" s="14" t="s">
        <v>147</v>
      </c>
      <c r="H442" s="14" t="s">
        <v>112</v>
      </c>
    </row>
    <row r="443" spans="1:8" ht="30.75" customHeight="1" x14ac:dyDescent="0.2">
      <c r="A443" s="13" t="s">
        <v>1112</v>
      </c>
      <c r="B443" s="9" t="s">
        <v>1113</v>
      </c>
      <c r="C443" s="8">
        <f>COUNTA(C444:C446)</f>
        <v>2</v>
      </c>
      <c r="D443" s="8">
        <f>COUNTA(D444:D446)</f>
        <v>2</v>
      </c>
      <c r="E443" s="8">
        <f>COUNTA(E444:E446)</f>
        <v>3</v>
      </c>
      <c r="F443" s="17"/>
      <c r="G443" s="14" t="s">
        <v>111</v>
      </c>
      <c r="H443" s="14" t="s">
        <v>112</v>
      </c>
    </row>
    <row r="444" spans="1:8" ht="30.75" customHeight="1" x14ac:dyDescent="0.2">
      <c r="A444" s="17">
        <v>376</v>
      </c>
      <c r="B444" s="16" t="s">
        <v>1114</v>
      </c>
      <c r="C444" s="50" t="s">
        <v>1115</v>
      </c>
      <c r="D444" s="50" t="s">
        <v>1116</v>
      </c>
      <c r="E444" s="17" t="s">
        <v>8</v>
      </c>
      <c r="F444" s="17" t="s">
        <v>1107</v>
      </c>
      <c r="G444" s="14" t="s">
        <v>111</v>
      </c>
      <c r="H444" s="14" t="s">
        <v>112</v>
      </c>
    </row>
    <row r="445" spans="1:8" ht="30.75" customHeight="1" x14ac:dyDescent="0.2">
      <c r="A445" s="17">
        <v>377</v>
      </c>
      <c r="B445" s="16" t="s">
        <v>1117</v>
      </c>
      <c r="C445" s="50"/>
      <c r="D445" s="50"/>
      <c r="E445" s="17" t="s">
        <v>8</v>
      </c>
      <c r="F445" s="17" t="s">
        <v>1107</v>
      </c>
      <c r="G445" s="14" t="s">
        <v>111</v>
      </c>
      <c r="H445" s="14" t="s">
        <v>112</v>
      </c>
    </row>
    <row r="446" spans="1:8" ht="54" customHeight="1" x14ac:dyDescent="0.2">
      <c r="A446" s="17">
        <v>378</v>
      </c>
      <c r="B446" s="16" t="s">
        <v>1118</v>
      </c>
      <c r="C446" s="17" t="s">
        <v>1119</v>
      </c>
      <c r="D446" s="17" t="s">
        <v>1120</v>
      </c>
      <c r="E446" s="17" t="s">
        <v>8</v>
      </c>
      <c r="F446" s="17" t="s">
        <v>1107</v>
      </c>
      <c r="G446" s="14" t="s">
        <v>111</v>
      </c>
      <c r="H446" s="14" t="s">
        <v>112</v>
      </c>
    </row>
    <row r="447" spans="1:8" ht="30.75" customHeight="1" x14ac:dyDescent="0.2">
      <c r="A447" s="13" t="s">
        <v>1121</v>
      </c>
      <c r="B447" s="9" t="s">
        <v>1122</v>
      </c>
      <c r="C447" s="8">
        <f>COUNTA(C448:C464)</f>
        <v>3</v>
      </c>
      <c r="D447" s="8"/>
      <c r="E447" s="8">
        <f>COUNTA(E448:E464)</f>
        <v>17</v>
      </c>
      <c r="F447" s="17"/>
      <c r="G447" s="14" t="s">
        <v>111</v>
      </c>
      <c r="H447" s="14" t="s">
        <v>112</v>
      </c>
    </row>
    <row r="448" spans="1:8" ht="30.75" customHeight="1" x14ac:dyDescent="0.2">
      <c r="A448" s="17">
        <v>379</v>
      </c>
      <c r="B448" s="16" t="s">
        <v>1123</v>
      </c>
      <c r="C448" s="50" t="s">
        <v>1124</v>
      </c>
      <c r="D448" s="50" t="s">
        <v>1125</v>
      </c>
      <c r="E448" s="17" t="s">
        <v>8</v>
      </c>
      <c r="F448" s="17" t="s">
        <v>1126</v>
      </c>
      <c r="G448" s="14" t="s">
        <v>111</v>
      </c>
      <c r="H448" s="14" t="s">
        <v>112</v>
      </c>
    </row>
    <row r="449" spans="1:8" ht="30.75" customHeight="1" x14ac:dyDescent="0.2">
      <c r="A449" s="17">
        <v>380</v>
      </c>
      <c r="B449" s="16" t="s">
        <v>1127</v>
      </c>
      <c r="C449" s="50"/>
      <c r="D449" s="50"/>
      <c r="E449" s="17" t="s">
        <v>8</v>
      </c>
      <c r="F449" s="17" t="s">
        <v>1126</v>
      </c>
      <c r="G449" s="14" t="s">
        <v>147</v>
      </c>
      <c r="H449" s="14" t="s">
        <v>112</v>
      </c>
    </row>
    <row r="450" spans="1:8" ht="30.75" customHeight="1" x14ac:dyDescent="0.2">
      <c r="A450" s="17">
        <v>381</v>
      </c>
      <c r="B450" s="16" t="s">
        <v>1128</v>
      </c>
      <c r="C450" s="50"/>
      <c r="D450" s="50"/>
      <c r="E450" s="17" t="s">
        <v>8</v>
      </c>
      <c r="F450" s="17" t="s">
        <v>1126</v>
      </c>
      <c r="G450" s="14" t="s">
        <v>147</v>
      </c>
      <c r="H450" s="14" t="s">
        <v>112</v>
      </c>
    </row>
    <row r="451" spans="1:8" ht="30.75" customHeight="1" x14ac:dyDescent="0.2">
      <c r="A451" s="17">
        <v>382</v>
      </c>
      <c r="B451" s="16" t="s">
        <v>1129</v>
      </c>
      <c r="C451" s="50"/>
      <c r="D451" s="50"/>
      <c r="E451" s="17" t="s">
        <v>8</v>
      </c>
      <c r="F451" s="17" t="s">
        <v>1126</v>
      </c>
      <c r="G451" s="14" t="s">
        <v>111</v>
      </c>
      <c r="H451" s="14" t="s">
        <v>112</v>
      </c>
    </row>
    <row r="452" spans="1:8" ht="30.75" customHeight="1" x14ac:dyDescent="0.2">
      <c r="A452" s="17">
        <v>383</v>
      </c>
      <c r="B452" s="16" t="s">
        <v>1130</v>
      </c>
      <c r="C452" s="50"/>
      <c r="D452" s="50"/>
      <c r="E452" s="17" t="s">
        <v>8</v>
      </c>
      <c r="F452" s="17" t="s">
        <v>1126</v>
      </c>
      <c r="G452" s="14" t="s">
        <v>147</v>
      </c>
      <c r="H452" s="14" t="s">
        <v>112</v>
      </c>
    </row>
    <row r="453" spans="1:8" ht="30.75" customHeight="1" x14ac:dyDescent="0.2">
      <c r="A453" s="17">
        <v>384</v>
      </c>
      <c r="B453" s="9" t="s">
        <v>1131</v>
      </c>
      <c r="C453" s="50" t="s">
        <v>1132</v>
      </c>
      <c r="D453" s="50" t="s">
        <v>1133</v>
      </c>
      <c r="E453" s="10" t="s">
        <v>7</v>
      </c>
      <c r="F453" s="10" t="s">
        <v>1134</v>
      </c>
      <c r="G453" s="14" t="s">
        <v>147</v>
      </c>
      <c r="H453" s="14" t="s">
        <v>112</v>
      </c>
    </row>
    <row r="454" spans="1:8" ht="30.75" customHeight="1" x14ac:dyDescent="0.2">
      <c r="A454" s="17">
        <v>385</v>
      </c>
      <c r="B454" s="9" t="s">
        <v>1135</v>
      </c>
      <c r="C454" s="50"/>
      <c r="D454" s="50"/>
      <c r="E454" s="10" t="s">
        <v>7</v>
      </c>
      <c r="F454" s="10" t="s">
        <v>1134</v>
      </c>
      <c r="G454" s="14" t="s">
        <v>147</v>
      </c>
      <c r="H454" s="14" t="s">
        <v>112</v>
      </c>
    </row>
    <row r="455" spans="1:8" ht="30.75" customHeight="1" x14ac:dyDescent="0.2">
      <c r="A455" s="17">
        <v>386</v>
      </c>
      <c r="B455" s="9" t="s">
        <v>1136</v>
      </c>
      <c r="C455" s="50"/>
      <c r="D455" s="50"/>
      <c r="E455" s="10" t="s">
        <v>7</v>
      </c>
      <c r="F455" s="10" t="s">
        <v>1137</v>
      </c>
      <c r="G455" s="14" t="s">
        <v>147</v>
      </c>
      <c r="H455" s="14" t="s">
        <v>112</v>
      </c>
    </row>
    <row r="456" spans="1:8" ht="30.75" customHeight="1" x14ac:dyDescent="0.2">
      <c r="A456" s="17">
        <v>387</v>
      </c>
      <c r="B456" s="9" t="s">
        <v>1138</v>
      </c>
      <c r="C456" s="50"/>
      <c r="D456" s="50"/>
      <c r="E456" s="10" t="s">
        <v>7</v>
      </c>
      <c r="F456" s="10" t="s">
        <v>1137</v>
      </c>
      <c r="G456" s="14" t="s">
        <v>147</v>
      </c>
      <c r="H456" s="14" t="s">
        <v>112</v>
      </c>
    </row>
    <row r="457" spans="1:8" ht="25.5" x14ac:dyDescent="0.2">
      <c r="A457" s="17">
        <v>388</v>
      </c>
      <c r="B457" s="9" t="s">
        <v>1139</v>
      </c>
      <c r="C457" s="50"/>
      <c r="D457" s="50"/>
      <c r="E457" s="10" t="s">
        <v>7</v>
      </c>
      <c r="F457" s="10" t="s">
        <v>1137</v>
      </c>
      <c r="G457" s="14" t="s">
        <v>111</v>
      </c>
      <c r="H457" s="14" t="s">
        <v>112</v>
      </c>
    </row>
    <row r="458" spans="1:8" ht="38.25" x14ac:dyDescent="0.2">
      <c r="A458" s="17">
        <v>389</v>
      </c>
      <c r="B458" s="16" t="s">
        <v>1140</v>
      </c>
      <c r="C458" s="50"/>
      <c r="D458" s="50"/>
      <c r="E458" s="17" t="s">
        <v>8</v>
      </c>
      <c r="F458" s="17" t="s">
        <v>1126</v>
      </c>
      <c r="G458" s="14" t="s">
        <v>111</v>
      </c>
      <c r="H458" s="14" t="s">
        <v>112</v>
      </c>
    </row>
    <row r="459" spans="1:8" ht="38.25" x14ac:dyDescent="0.2">
      <c r="A459" s="17">
        <v>390</v>
      </c>
      <c r="B459" s="16" t="s">
        <v>1141</v>
      </c>
      <c r="C459" s="50"/>
      <c r="D459" s="50"/>
      <c r="E459" s="17" t="s">
        <v>8</v>
      </c>
      <c r="F459" s="17" t="s">
        <v>1126</v>
      </c>
      <c r="G459" s="14" t="s">
        <v>111</v>
      </c>
      <c r="H459" s="14" t="s">
        <v>112</v>
      </c>
    </row>
    <row r="460" spans="1:8" ht="38.25" x14ac:dyDescent="0.2">
      <c r="A460" s="17">
        <v>391</v>
      </c>
      <c r="B460" s="16" t="s">
        <v>1142</v>
      </c>
      <c r="C460" s="50"/>
      <c r="D460" s="50"/>
      <c r="E460" s="17" t="s">
        <v>8</v>
      </c>
      <c r="F460" s="17" t="s">
        <v>1126</v>
      </c>
      <c r="G460" s="14" t="s">
        <v>111</v>
      </c>
      <c r="H460" s="14" t="s">
        <v>112</v>
      </c>
    </row>
    <row r="461" spans="1:8" ht="38.25" x14ac:dyDescent="0.2">
      <c r="A461" s="17">
        <v>392</v>
      </c>
      <c r="B461" s="16" t="s">
        <v>1143</v>
      </c>
      <c r="C461" s="50"/>
      <c r="D461" s="50"/>
      <c r="E461" s="17" t="s">
        <v>8</v>
      </c>
      <c r="F461" s="17" t="s">
        <v>1126</v>
      </c>
      <c r="G461" s="14" t="s">
        <v>111</v>
      </c>
      <c r="H461" s="14" t="s">
        <v>112</v>
      </c>
    </row>
    <row r="462" spans="1:8" ht="38.25" x14ac:dyDescent="0.2">
      <c r="A462" s="17">
        <v>393</v>
      </c>
      <c r="B462" s="16" t="s">
        <v>1144</v>
      </c>
      <c r="C462" s="50"/>
      <c r="D462" s="50"/>
      <c r="E462" s="17" t="s">
        <v>8</v>
      </c>
      <c r="F462" s="17" t="s">
        <v>1145</v>
      </c>
      <c r="G462" s="14" t="s">
        <v>111</v>
      </c>
      <c r="H462" s="14" t="s">
        <v>112</v>
      </c>
    </row>
    <row r="463" spans="1:8" ht="30.75" customHeight="1" x14ac:dyDescent="0.2">
      <c r="A463" s="17">
        <v>394</v>
      </c>
      <c r="B463" s="16" t="s">
        <v>1146</v>
      </c>
      <c r="C463" s="50"/>
      <c r="D463" s="50"/>
      <c r="E463" s="17" t="s">
        <v>8</v>
      </c>
      <c r="F463" s="17" t="s">
        <v>1145</v>
      </c>
      <c r="G463" s="14" t="s">
        <v>111</v>
      </c>
      <c r="H463" s="14" t="s">
        <v>112</v>
      </c>
    </row>
    <row r="464" spans="1:8" ht="69.75" customHeight="1" x14ac:dyDescent="0.2">
      <c r="A464" s="17">
        <v>395</v>
      </c>
      <c r="B464" s="16" t="s">
        <v>1147</v>
      </c>
      <c r="C464" s="17" t="s">
        <v>1148</v>
      </c>
      <c r="D464" s="17" t="s">
        <v>1149</v>
      </c>
      <c r="E464" s="17" t="s">
        <v>8</v>
      </c>
      <c r="F464" s="17" t="s">
        <v>1145</v>
      </c>
      <c r="G464" s="14" t="s">
        <v>111</v>
      </c>
      <c r="H464" s="14" t="s">
        <v>112</v>
      </c>
    </row>
    <row r="465" spans="1:8" ht="30.75" customHeight="1" x14ac:dyDescent="0.2">
      <c r="A465" s="13" t="s">
        <v>1150</v>
      </c>
      <c r="B465" s="9" t="s">
        <v>1151</v>
      </c>
      <c r="C465" s="8">
        <f>COUNTA(C466:C470)</f>
        <v>4</v>
      </c>
      <c r="D465" s="8"/>
      <c r="E465" s="8">
        <f>COUNTA(E466:E470)</f>
        <v>5</v>
      </c>
      <c r="F465" s="17"/>
      <c r="G465" s="14" t="s">
        <v>111</v>
      </c>
      <c r="H465" s="14" t="s">
        <v>112</v>
      </c>
    </row>
    <row r="466" spans="1:8" ht="25.5" x14ac:dyDescent="0.2">
      <c r="A466" s="17">
        <v>396</v>
      </c>
      <c r="B466" s="16" t="s">
        <v>1152</v>
      </c>
      <c r="C466" s="17" t="s">
        <v>1153</v>
      </c>
      <c r="D466" s="17"/>
      <c r="E466" s="17" t="s">
        <v>8</v>
      </c>
      <c r="F466" s="17" t="s">
        <v>1154</v>
      </c>
      <c r="G466" s="14" t="s">
        <v>111</v>
      </c>
      <c r="H466" s="14" t="s">
        <v>112</v>
      </c>
    </row>
    <row r="467" spans="1:8" ht="38.25" x14ac:dyDescent="0.2">
      <c r="A467" s="17">
        <v>397</v>
      </c>
      <c r="B467" s="16" t="s">
        <v>1155</v>
      </c>
      <c r="C467" s="17" t="s">
        <v>1156</v>
      </c>
      <c r="D467" s="17" t="s">
        <v>1157</v>
      </c>
      <c r="E467" s="17" t="s">
        <v>8</v>
      </c>
      <c r="F467" s="17" t="s">
        <v>1158</v>
      </c>
      <c r="G467" s="14" t="s">
        <v>111</v>
      </c>
      <c r="H467" s="14" t="s">
        <v>112</v>
      </c>
    </row>
    <row r="468" spans="1:8" ht="25.5" x14ac:dyDescent="0.2">
      <c r="A468" s="17">
        <v>398</v>
      </c>
      <c r="B468" s="16" t="s">
        <v>1159</v>
      </c>
      <c r="C468" s="17" t="s">
        <v>1160</v>
      </c>
      <c r="D468" s="17" t="s">
        <v>1161</v>
      </c>
      <c r="E468" s="17" t="s">
        <v>8</v>
      </c>
      <c r="F468" s="17" t="s">
        <v>1162</v>
      </c>
      <c r="G468" s="14" t="s">
        <v>111</v>
      </c>
      <c r="H468" s="14" t="s">
        <v>112</v>
      </c>
    </row>
    <row r="469" spans="1:8" ht="37.5" customHeight="1" x14ac:dyDescent="0.2">
      <c r="A469" s="17">
        <v>399</v>
      </c>
      <c r="B469" s="16" t="s">
        <v>1163</v>
      </c>
      <c r="C469" s="50" t="s">
        <v>1164</v>
      </c>
      <c r="D469" s="50" t="s">
        <v>1165</v>
      </c>
      <c r="E469" s="17" t="s">
        <v>8</v>
      </c>
      <c r="F469" s="17" t="s">
        <v>1166</v>
      </c>
      <c r="G469" s="14" t="s">
        <v>111</v>
      </c>
      <c r="H469" s="14" t="s">
        <v>112</v>
      </c>
    </row>
    <row r="470" spans="1:8" ht="30.75" customHeight="1" x14ac:dyDescent="0.2">
      <c r="A470" s="17">
        <v>400</v>
      </c>
      <c r="B470" s="16" t="s">
        <v>1167</v>
      </c>
      <c r="C470" s="50"/>
      <c r="D470" s="50"/>
      <c r="E470" s="17" t="s">
        <v>8</v>
      </c>
      <c r="F470" s="17" t="s">
        <v>1166</v>
      </c>
      <c r="G470" s="14" t="s">
        <v>111</v>
      </c>
      <c r="H470" s="14" t="s">
        <v>112</v>
      </c>
    </row>
    <row r="471" spans="1:8" ht="30.75" customHeight="1" x14ac:dyDescent="0.2">
      <c r="A471" s="13" t="s">
        <v>1168</v>
      </c>
      <c r="B471" s="9" t="s">
        <v>1169</v>
      </c>
      <c r="C471" s="8">
        <f>COUNTA(C472:C475)</f>
        <v>4</v>
      </c>
      <c r="D471" s="8"/>
      <c r="E471" s="8">
        <f>COUNTA(E472:E475)</f>
        <v>4</v>
      </c>
      <c r="F471" s="10"/>
      <c r="G471" s="14" t="s">
        <v>111</v>
      </c>
      <c r="H471" s="14" t="s">
        <v>112</v>
      </c>
    </row>
    <row r="472" spans="1:8" ht="25.5" x14ac:dyDescent="0.2">
      <c r="A472" s="17">
        <v>401</v>
      </c>
      <c r="B472" s="16" t="s">
        <v>1170</v>
      </c>
      <c r="C472" s="17" t="s">
        <v>1171</v>
      </c>
      <c r="D472" s="34" t="s">
        <v>1172</v>
      </c>
      <c r="E472" s="17" t="s">
        <v>8</v>
      </c>
      <c r="F472" s="17" t="s">
        <v>1162</v>
      </c>
      <c r="G472" s="14" t="s">
        <v>111</v>
      </c>
      <c r="H472" s="14" t="s">
        <v>112</v>
      </c>
    </row>
    <row r="473" spans="1:8" ht="25.5" x14ac:dyDescent="0.2">
      <c r="A473" s="17">
        <v>402</v>
      </c>
      <c r="B473" s="16" t="s">
        <v>1173</v>
      </c>
      <c r="C473" s="17" t="s">
        <v>1174</v>
      </c>
      <c r="D473" s="14" t="s">
        <v>1175</v>
      </c>
      <c r="E473" s="17" t="s">
        <v>8</v>
      </c>
      <c r="F473" s="17" t="s">
        <v>1162</v>
      </c>
      <c r="G473" s="14" t="s">
        <v>111</v>
      </c>
      <c r="H473" s="14" t="s">
        <v>112</v>
      </c>
    </row>
    <row r="474" spans="1:8" ht="38.25" x14ac:dyDescent="0.2">
      <c r="A474" s="17">
        <v>403</v>
      </c>
      <c r="B474" s="16" t="s">
        <v>1176</v>
      </c>
      <c r="C474" s="17" t="s">
        <v>1177</v>
      </c>
      <c r="D474" s="17" t="s">
        <v>1178</v>
      </c>
      <c r="E474" s="17" t="s">
        <v>8</v>
      </c>
      <c r="F474" s="17" t="s">
        <v>1179</v>
      </c>
      <c r="G474" s="14" t="s">
        <v>111</v>
      </c>
      <c r="H474" s="14" t="s">
        <v>112</v>
      </c>
    </row>
    <row r="475" spans="1:8" ht="25.5" x14ac:dyDescent="0.2">
      <c r="A475" s="17">
        <v>404</v>
      </c>
      <c r="B475" s="16" t="s">
        <v>1180</v>
      </c>
      <c r="C475" s="17" t="s">
        <v>1181</v>
      </c>
      <c r="D475" s="19" t="s">
        <v>1182</v>
      </c>
      <c r="E475" s="17" t="s">
        <v>8</v>
      </c>
      <c r="F475" s="20" t="s">
        <v>110</v>
      </c>
      <c r="G475" s="14" t="s">
        <v>111</v>
      </c>
      <c r="H475" s="14" t="s">
        <v>112</v>
      </c>
    </row>
    <row r="476" spans="1:8" ht="30.75" customHeight="1" x14ac:dyDescent="0.2">
      <c r="A476" s="13" t="s">
        <v>1183</v>
      </c>
      <c r="B476" s="9" t="s">
        <v>1184</v>
      </c>
      <c r="C476" s="8">
        <f>COUNTA(C477:C483)</f>
        <v>5</v>
      </c>
      <c r="D476" s="8"/>
      <c r="E476" s="8">
        <f>COUNTA(E477:E483)</f>
        <v>7</v>
      </c>
      <c r="F476" s="10"/>
      <c r="G476" s="14" t="s">
        <v>111</v>
      </c>
      <c r="H476" s="14" t="s">
        <v>112</v>
      </c>
    </row>
    <row r="477" spans="1:8" ht="38.25" x14ac:dyDescent="0.2">
      <c r="A477" s="17">
        <v>405</v>
      </c>
      <c r="B477" s="16" t="s">
        <v>1185</v>
      </c>
      <c r="C477" s="17" t="s">
        <v>1186</v>
      </c>
      <c r="D477" s="17" t="s">
        <v>1187</v>
      </c>
      <c r="E477" s="17" t="s">
        <v>8</v>
      </c>
      <c r="F477" s="17" t="s">
        <v>1188</v>
      </c>
      <c r="G477" s="14" t="s">
        <v>353</v>
      </c>
      <c r="H477" s="14" t="s">
        <v>112</v>
      </c>
    </row>
    <row r="478" spans="1:8" ht="30.75" customHeight="1" x14ac:dyDescent="0.2">
      <c r="A478" s="17">
        <v>406</v>
      </c>
      <c r="B478" s="16" t="s">
        <v>1189</v>
      </c>
      <c r="C478" s="50" t="s">
        <v>1190</v>
      </c>
      <c r="D478" s="50" t="s">
        <v>1191</v>
      </c>
      <c r="E478" s="17" t="s">
        <v>8</v>
      </c>
      <c r="F478" s="17" t="s">
        <v>1162</v>
      </c>
      <c r="G478" s="14" t="s">
        <v>111</v>
      </c>
      <c r="H478" s="14" t="s">
        <v>112</v>
      </c>
    </row>
    <row r="479" spans="1:8" ht="30.75" customHeight="1" x14ac:dyDescent="0.2">
      <c r="A479" s="17">
        <v>407</v>
      </c>
      <c r="B479" s="16" t="s">
        <v>1170</v>
      </c>
      <c r="C479" s="50"/>
      <c r="D479" s="50"/>
      <c r="E479" s="17" t="s">
        <v>8</v>
      </c>
      <c r="F479" s="17" t="s">
        <v>1162</v>
      </c>
      <c r="G479" s="14" t="s">
        <v>111</v>
      </c>
      <c r="H479" s="14" t="s">
        <v>112</v>
      </c>
    </row>
    <row r="480" spans="1:8" ht="30.75" customHeight="1" x14ac:dyDescent="0.2">
      <c r="A480" s="17">
        <v>408</v>
      </c>
      <c r="B480" s="16" t="s">
        <v>1192</v>
      </c>
      <c r="C480" s="50"/>
      <c r="D480" s="50"/>
      <c r="E480" s="17" t="s">
        <v>8</v>
      </c>
      <c r="F480" s="17" t="s">
        <v>1162</v>
      </c>
      <c r="G480" s="14" t="s">
        <v>147</v>
      </c>
      <c r="H480" s="14" t="s">
        <v>112</v>
      </c>
    </row>
    <row r="481" spans="1:8" ht="25.5" x14ac:dyDescent="0.2">
      <c r="A481" s="17">
        <v>409</v>
      </c>
      <c r="B481" s="16" t="s">
        <v>1193</v>
      </c>
      <c r="C481" s="17" t="s">
        <v>1194</v>
      </c>
      <c r="D481" s="17" t="s">
        <v>1195</v>
      </c>
      <c r="E481" s="17" t="s">
        <v>8</v>
      </c>
      <c r="F481" s="17" t="s">
        <v>1162</v>
      </c>
      <c r="G481" s="14" t="s">
        <v>111</v>
      </c>
      <c r="H481" s="14" t="s">
        <v>112</v>
      </c>
    </row>
    <row r="482" spans="1:8" ht="25.5" x14ac:dyDescent="0.2">
      <c r="A482" s="17">
        <v>410</v>
      </c>
      <c r="B482" s="16" t="s">
        <v>1196</v>
      </c>
      <c r="C482" s="17" t="s">
        <v>1197</v>
      </c>
      <c r="D482" s="17" t="s">
        <v>1198</v>
      </c>
      <c r="E482" s="17" t="s">
        <v>8</v>
      </c>
      <c r="F482" s="17" t="s">
        <v>1199</v>
      </c>
      <c r="G482" s="14" t="s">
        <v>111</v>
      </c>
      <c r="H482" s="14" t="s">
        <v>112</v>
      </c>
    </row>
    <row r="483" spans="1:8" ht="25.5" x14ac:dyDescent="0.2">
      <c r="A483" s="17">
        <v>411</v>
      </c>
      <c r="B483" s="16" t="s">
        <v>1200</v>
      </c>
      <c r="C483" s="17" t="s">
        <v>1201</v>
      </c>
      <c r="D483" s="17" t="s">
        <v>1202</v>
      </c>
      <c r="E483" s="17" t="s">
        <v>8</v>
      </c>
      <c r="F483" s="17" t="s">
        <v>1199</v>
      </c>
      <c r="G483" s="14" t="s">
        <v>111</v>
      </c>
      <c r="H483" s="14" t="s">
        <v>112</v>
      </c>
    </row>
    <row r="484" spans="1:8" ht="30.75" customHeight="1" x14ac:dyDescent="0.2">
      <c r="A484" s="13" t="s">
        <v>1203</v>
      </c>
      <c r="B484" s="9" t="s">
        <v>1204</v>
      </c>
      <c r="C484" s="8">
        <f>COUNTA(C485:C487)</f>
        <v>2</v>
      </c>
      <c r="D484" s="8"/>
      <c r="E484" s="8">
        <f>COUNTA(E485:E487)</f>
        <v>3</v>
      </c>
      <c r="F484" s="10"/>
      <c r="G484" s="14" t="s">
        <v>111</v>
      </c>
      <c r="H484" s="14" t="s">
        <v>112</v>
      </c>
    </row>
    <row r="485" spans="1:8" ht="30.75" customHeight="1" x14ac:dyDescent="0.2">
      <c r="A485" s="14">
        <v>412</v>
      </c>
      <c r="B485" s="16" t="s">
        <v>1205</v>
      </c>
      <c r="C485" s="50" t="s">
        <v>1206</v>
      </c>
      <c r="D485" s="50" t="s">
        <v>1207</v>
      </c>
      <c r="E485" s="31" t="s">
        <v>8</v>
      </c>
      <c r="F485" s="17" t="s">
        <v>1208</v>
      </c>
      <c r="G485" s="14" t="s">
        <v>111</v>
      </c>
      <c r="H485" s="14" t="s">
        <v>112</v>
      </c>
    </row>
    <row r="486" spans="1:8" ht="30.75" customHeight="1" x14ac:dyDescent="0.2">
      <c r="A486" s="14">
        <v>413</v>
      </c>
      <c r="B486" s="16" t="s">
        <v>1209</v>
      </c>
      <c r="C486" s="50"/>
      <c r="D486" s="50"/>
      <c r="E486" s="31" t="s">
        <v>8</v>
      </c>
      <c r="F486" s="17" t="s">
        <v>1208</v>
      </c>
      <c r="G486" s="14" t="s">
        <v>111</v>
      </c>
      <c r="H486" s="14" t="s">
        <v>112</v>
      </c>
    </row>
    <row r="487" spans="1:8" ht="25.5" x14ac:dyDescent="0.2">
      <c r="A487" s="14">
        <v>414</v>
      </c>
      <c r="B487" s="16" t="s">
        <v>1210</v>
      </c>
      <c r="C487" s="17" t="s">
        <v>1211</v>
      </c>
      <c r="D487" s="17" t="s">
        <v>1212</v>
      </c>
      <c r="E487" s="31" t="s">
        <v>8</v>
      </c>
      <c r="F487" s="17" t="s">
        <v>1208</v>
      </c>
      <c r="G487" s="14" t="s">
        <v>111</v>
      </c>
      <c r="H487" s="14" t="s">
        <v>112</v>
      </c>
    </row>
    <row r="488" spans="1:8" ht="30.75" customHeight="1" x14ac:dyDescent="0.2">
      <c r="A488" s="13" t="s">
        <v>1213</v>
      </c>
      <c r="B488" s="9" t="s">
        <v>1214</v>
      </c>
      <c r="C488" s="8">
        <f>COUNTA(C489:C491)</f>
        <v>3</v>
      </c>
      <c r="D488" s="8"/>
      <c r="E488" s="8">
        <f>COUNTA(E489:E491)</f>
        <v>3</v>
      </c>
      <c r="F488" s="17" t="s">
        <v>1208</v>
      </c>
      <c r="G488" s="14" t="s">
        <v>111</v>
      </c>
      <c r="H488" s="14" t="s">
        <v>112</v>
      </c>
    </row>
    <row r="489" spans="1:8" ht="38.25" x14ac:dyDescent="0.2">
      <c r="A489" s="14">
        <v>415</v>
      </c>
      <c r="B489" s="16" t="s">
        <v>1215</v>
      </c>
      <c r="C489" s="17" t="s">
        <v>1216</v>
      </c>
      <c r="D489" s="17" t="s">
        <v>1217</v>
      </c>
      <c r="E489" s="31" t="s">
        <v>8</v>
      </c>
      <c r="F489" s="17" t="s">
        <v>1208</v>
      </c>
      <c r="G489" s="14" t="s">
        <v>111</v>
      </c>
      <c r="H489" s="14" t="s">
        <v>112</v>
      </c>
    </row>
    <row r="490" spans="1:8" ht="25.5" x14ac:dyDescent="0.2">
      <c r="A490" s="14">
        <v>416</v>
      </c>
      <c r="B490" s="16" t="s">
        <v>1218</v>
      </c>
      <c r="C490" s="17" t="s">
        <v>1219</v>
      </c>
      <c r="D490" s="17" t="s">
        <v>1220</v>
      </c>
      <c r="E490" s="31" t="s">
        <v>8</v>
      </c>
      <c r="F490" s="17" t="s">
        <v>1208</v>
      </c>
      <c r="G490" s="14" t="s">
        <v>111</v>
      </c>
      <c r="H490" s="14" t="s">
        <v>112</v>
      </c>
    </row>
    <row r="491" spans="1:8" ht="25.5" x14ac:dyDescent="0.2">
      <c r="A491" s="14">
        <v>417</v>
      </c>
      <c r="B491" s="16" t="s">
        <v>1221</v>
      </c>
      <c r="C491" s="17" t="s">
        <v>1222</v>
      </c>
      <c r="D491" s="17" t="s">
        <v>1223</v>
      </c>
      <c r="E491" s="31" t="s">
        <v>8</v>
      </c>
      <c r="F491" s="17" t="s">
        <v>1208</v>
      </c>
      <c r="G491" s="14" t="s">
        <v>111</v>
      </c>
      <c r="H491" s="14" t="s">
        <v>112</v>
      </c>
    </row>
    <row r="492" spans="1:8" ht="30.75" customHeight="1" x14ac:dyDescent="0.2">
      <c r="A492" s="13" t="s">
        <v>1224</v>
      </c>
      <c r="B492" s="9" t="s">
        <v>1225</v>
      </c>
      <c r="C492" s="8">
        <f>COUNTA(C493:C502)</f>
        <v>6</v>
      </c>
      <c r="D492" s="8"/>
      <c r="E492" s="8">
        <f>COUNTA(E493:E502)</f>
        <v>10</v>
      </c>
      <c r="F492" s="10"/>
      <c r="G492" s="14" t="s">
        <v>111</v>
      </c>
      <c r="H492" s="14" t="s">
        <v>112</v>
      </c>
    </row>
    <row r="493" spans="1:8" ht="30.75" customHeight="1" x14ac:dyDescent="0.2">
      <c r="A493" s="14">
        <v>418</v>
      </c>
      <c r="B493" s="16" t="s">
        <v>1226</v>
      </c>
      <c r="C493" s="21"/>
      <c r="D493" s="17"/>
      <c r="E493" s="31" t="s">
        <v>8</v>
      </c>
      <c r="F493" s="17" t="s">
        <v>1208</v>
      </c>
      <c r="G493" s="14" t="s">
        <v>111</v>
      </c>
      <c r="H493" s="14" t="s">
        <v>112</v>
      </c>
    </row>
    <row r="494" spans="1:8" ht="30.75" customHeight="1" x14ac:dyDescent="0.2">
      <c r="A494" s="14">
        <v>419</v>
      </c>
      <c r="B494" s="16" t="s">
        <v>1227</v>
      </c>
      <c r="C494" s="21"/>
      <c r="D494" s="17"/>
      <c r="E494" s="31" t="s">
        <v>8</v>
      </c>
      <c r="F494" s="17" t="s">
        <v>1208</v>
      </c>
      <c r="G494" s="14" t="s">
        <v>111</v>
      </c>
      <c r="H494" s="14" t="s">
        <v>112</v>
      </c>
    </row>
    <row r="495" spans="1:8" ht="30.75" customHeight="1" x14ac:dyDescent="0.2">
      <c r="A495" s="14">
        <v>420</v>
      </c>
      <c r="B495" s="16" t="s">
        <v>1228</v>
      </c>
      <c r="C495" s="21"/>
      <c r="D495" s="17"/>
      <c r="E495" s="31" t="s">
        <v>8</v>
      </c>
      <c r="F495" s="17" t="s">
        <v>1208</v>
      </c>
      <c r="G495" s="14" t="s">
        <v>111</v>
      </c>
      <c r="H495" s="14" t="s">
        <v>112</v>
      </c>
    </row>
    <row r="496" spans="1:8" ht="25.5" x14ac:dyDescent="0.2">
      <c r="A496" s="14">
        <v>421</v>
      </c>
      <c r="B496" s="16" t="s">
        <v>1221</v>
      </c>
      <c r="C496" s="17" t="s">
        <v>1229</v>
      </c>
      <c r="D496" s="17" t="s">
        <v>1230</v>
      </c>
      <c r="E496" s="31" t="s">
        <v>8</v>
      </c>
      <c r="F496" s="17" t="s">
        <v>1208</v>
      </c>
      <c r="G496" s="14" t="s">
        <v>111</v>
      </c>
      <c r="H496" s="14" t="s">
        <v>112</v>
      </c>
    </row>
    <row r="497" spans="1:8" ht="25.5" x14ac:dyDescent="0.2">
      <c r="A497" s="14">
        <v>422</v>
      </c>
      <c r="B497" s="16" t="s">
        <v>1231</v>
      </c>
      <c r="C497" s="50" t="s">
        <v>1232</v>
      </c>
      <c r="D497" s="50" t="s">
        <v>1233</v>
      </c>
      <c r="E497" s="31" t="s">
        <v>8</v>
      </c>
      <c r="F497" s="17" t="s">
        <v>1208</v>
      </c>
      <c r="G497" s="14" t="s">
        <v>111</v>
      </c>
      <c r="H497" s="14" t="s">
        <v>112</v>
      </c>
    </row>
    <row r="498" spans="1:8" ht="25.5" x14ac:dyDescent="0.2">
      <c r="A498" s="14">
        <v>423</v>
      </c>
      <c r="B498" s="16" t="s">
        <v>1234</v>
      </c>
      <c r="C498" s="50"/>
      <c r="D498" s="50"/>
      <c r="E498" s="31" t="s">
        <v>8</v>
      </c>
      <c r="F498" s="17" t="s">
        <v>1208</v>
      </c>
      <c r="G498" s="14" t="s">
        <v>111</v>
      </c>
      <c r="H498" s="14" t="s">
        <v>112</v>
      </c>
    </row>
    <row r="499" spans="1:8" ht="56.25" customHeight="1" x14ac:dyDescent="0.2">
      <c r="A499" s="14">
        <v>424</v>
      </c>
      <c r="B499" s="16" t="s">
        <v>1235</v>
      </c>
      <c r="C499" s="17" t="s">
        <v>1236</v>
      </c>
      <c r="D499" s="17" t="s">
        <v>1237</v>
      </c>
      <c r="E499" s="31" t="s">
        <v>8</v>
      </c>
      <c r="F499" s="17" t="s">
        <v>1208</v>
      </c>
      <c r="G499" s="14" t="s">
        <v>111</v>
      </c>
      <c r="H499" s="14" t="s">
        <v>112</v>
      </c>
    </row>
    <row r="500" spans="1:8" ht="42.75" customHeight="1" x14ac:dyDescent="0.2">
      <c r="A500" s="14">
        <v>425</v>
      </c>
      <c r="B500" s="16" t="s">
        <v>1238</v>
      </c>
      <c r="C500" s="17" t="s">
        <v>1239</v>
      </c>
      <c r="D500" s="17" t="s">
        <v>1240</v>
      </c>
      <c r="E500" s="31" t="s">
        <v>8</v>
      </c>
      <c r="F500" s="17" t="s">
        <v>1208</v>
      </c>
      <c r="G500" s="14" t="s">
        <v>111</v>
      </c>
      <c r="H500" s="14" t="s">
        <v>112</v>
      </c>
    </row>
    <row r="501" spans="1:8" ht="38.25" x14ac:dyDescent="0.2">
      <c r="A501" s="14">
        <v>426</v>
      </c>
      <c r="B501" s="16" t="s">
        <v>1241</v>
      </c>
      <c r="C501" s="17" t="s">
        <v>1242</v>
      </c>
      <c r="D501" s="17" t="s">
        <v>1243</v>
      </c>
      <c r="E501" s="31" t="s">
        <v>8</v>
      </c>
      <c r="F501" s="17" t="s">
        <v>1208</v>
      </c>
      <c r="G501" s="14" t="s">
        <v>111</v>
      </c>
      <c r="H501" s="14" t="s">
        <v>112</v>
      </c>
    </row>
    <row r="502" spans="1:8" ht="59.25" customHeight="1" x14ac:dyDescent="0.2">
      <c r="A502" s="14">
        <v>427</v>
      </c>
      <c r="B502" s="16" t="s">
        <v>1244</v>
      </c>
      <c r="C502" s="17" t="s">
        <v>1245</v>
      </c>
      <c r="D502" s="17" t="s">
        <v>1246</v>
      </c>
      <c r="E502" s="31" t="s">
        <v>8</v>
      </c>
      <c r="F502" s="17" t="s">
        <v>1247</v>
      </c>
      <c r="G502" s="14" t="s">
        <v>111</v>
      </c>
      <c r="H502" s="14" t="s">
        <v>112</v>
      </c>
    </row>
    <row r="503" spans="1:8" ht="30.75" customHeight="1" x14ac:dyDescent="0.2">
      <c r="A503" s="13" t="s">
        <v>1248</v>
      </c>
      <c r="B503" s="9" t="s">
        <v>1249</v>
      </c>
      <c r="C503" s="8">
        <f>COUNTA(C504:C512)</f>
        <v>3</v>
      </c>
      <c r="D503" s="8"/>
      <c r="E503" s="8">
        <f>COUNTA(E504:E512)</f>
        <v>9</v>
      </c>
      <c r="F503" s="10"/>
      <c r="G503" s="14" t="s">
        <v>111</v>
      </c>
      <c r="H503" s="14" t="s">
        <v>112</v>
      </c>
    </row>
    <row r="504" spans="1:8" ht="47.25" customHeight="1" x14ac:dyDescent="0.2">
      <c r="A504" s="17">
        <v>428</v>
      </c>
      <c r="B504" s="16" t="s">
        <v>1250</v>
      </c>
      <c r="C504" s="50" t="s">
        <v>1251</v>
      </c>
      <c r="D504" s="50" t="s">
        <v>1252</v>
      </c>
      <c r="E504" s="35" t="s">
        <v>8</v>
      </c>
      <c r="F504" s="17" t="s">
        <v>1253</v>
      </c>
      <c r="G504" s="14" t="s">
        <v>111</v>
      </c>
      <c r="H504" s="14" t="s">
        <v>112</v>
      </c>
    </row>
    <row r="505" spans="1:8" ht="30.75" customHeight="1" x14ac:dyDescent="0.2">
      <c r="A505" s="17">
        <v>429</v>
      </c>
      <c r="B505" s="16" t="s">
        <v>1254</v>
      </c>
      <c r="C505" s="50"/>
      <c r="D505" s="50"/>
      <c r="E505" s="17" t="s">
        <v>8</v>
      </c>
      <c r="F505" s="17" t="s">
        <v>1255</v>
      </c>
      <c r="G505" s="14" t="s">
        <v>111</v>
      </c>
      <c r="H505" s="14" t="s">
        <v>112</v>
      </c>
    </row>
    <row r="506" spans="1:8" ht="30.75" customHeight="1" x14ac:dyDescent="0.2">
      <c r="A506" s="17">
        <v>430</v>
      </c>
      <c r="B506" s="16" t="s">
        <v>1256</v>
      </c>
      <c r="C506" s="50"/>
      <c r="D506" s="50"/>
      <c r="E506" s="17" t="s">
        <v>8</v>
      </c>
      <c r="F506" s="17" t="s">
        <v>1255</v>
      </c>
      <c r="G506" s="14" t="s">
        <v>111</v>
      </c>
      <c r="H506" s="14" t="s">
        <v>112</v>
      </c>
    </row>
    <row r="507" spans="1:8" ht="30.75" customHeight="1" x14ac:dyDescent="0.2">
      <c r="A507" s="17">
        <v>431</v>
      </c>
      <c r="B507" s="16" t="s">
        <v>1257</v>
      </c>
      <c r="C507" s="50"/>
      <c r="D507" s="50"/>
      <c r="E507" s="17" t="s">
        <v>8</v>
      </c>
      <c r="F507" s="17" t="s">
        <v>1255</v>
      </c>
      <c r="G507" s="14" t="s">
        <v>111</v>
      </c>
      <c r="H507" s="14" t="s">
        <v>112</v>
      </c>
    </row>
    <row r="508" spans="1:8" ht="30.75" customHeight="1" x14ac:dyDescent="0.2">
      <c r="A508" s="17">
        <v>432</v>
      </c>
      <c r="B508" s="16" t="s">
        <v>1258</v>
      </c>
      <c r="C508" s="50"/>
      <c r="D508" s="50"/>
      <c r="E508" s="17" t="s">
        <v>8</v>
      </c>
      <c r="F508" s="17" t="s">
        <v>1255</v>
      </c>
      <c r="G508" s="14" t="s">
        <v>111</v>
      </c>
      <c r="H508" s="14" t="s">
        <v>112</v>
      </c>
    </row>
    <row r="509" spans="1:8" ht="30.75" customHeight="1" x14ac:dyDescent="0.2">
      <c r="A509" s="17">
        <v>433</v>
      </c>
      <c r="B509" s="16" t="s">
        <v>1259</v>
      </c>
      <c r="C509" s="50"/>
      <c r="D509" s="50"/>
      <c r="E509" s="17" t="s">
        <v>8</v>
      </c>
      <c r="F509" s="17" t="s">
        <v>1255</v>
      </c>
      <c r="G509" s="14" t="s">
        <v>111</v>
      </c>
      <c r="H509" s="14" t="s">
        <v>112</v>
      </c>
    </row>
    <row r="510" spans="1:8" ht="78.75" customHeight="1" x14ac:dyDescent="0.2">
      <c r="A510" s="17">
        <v>434</v>
      </c>
      <c r="B510" s="16" t="s">
        <v>1260</v>
      </c>
      <c r="C510" s="17" t="s">
        <v>1261</v>
      </c>
      <c r="D510" s="17" t="s">
        <v>1262</v>
      </c>
      <c r="E510" s="35" t="s">
        <v>8</v>
      </c>
      <c r="F510" s="17" t="s">
        <v>1253</v>
      </c>
      <c r="G510" s="14" t="s">
        <v>111</v>
      </c>
      <c r="H510" s="14" t="s">
        <v>112</v>
      </c>
    </row>
    <row r="511" spans="1:8" ht="30.75" customHeight="1" x14ac:dyDescent="0.2">
      <c r="A511" s="17">
        <v>435</v>
      </c>
      <c r="B511" s="16" t="s">
        <v>1263</v>
      </c>
      <c r="C511" s="50" t="s">
        <v>1264</v>
      </c>
      <c r="D511" s="50" t="s">
        <v>1262</v>
      </c>
      <c r="E511" s="17" t="s">
        <v>8</v>
      </c>
      <c r="F511" s="17" t="s">
        <v>1255</v>
      </c>
      <c r="G511" s="14" t="s">
        <v>111</v>
      </c>
      <c r="H511" s="14" t="s">
        <v>112</v>
      </c>
    </row>
    <row r="512" spans="1:8" ht="30.75" customHeight="1" x14ac:dyDescent="0.2">
      <c r="A512" s="17">
        <v>436</v>
      </c>
      <c r="B512" s="16" t="s">
        <v>1265</v>
      </c>
      <c r="C512" s="50"/>
      <c r="D512" s="50"/>
      <c r="E512" s="17" t="s">
        <v>8</v>
      </c>
      <c r="F512" s="17" t="s">
        <v>1255</v>
      </c>
      <c r="G512" s="14" t="s">
        <v>111</v>
      </c>
      <c r="H512" s="14" t="s">
        <v>112</v>
      </c>
    </row>
    <row r="513" spans="1:8" ht="30.75" customHeight="1" x14ac:dyDescent="0.2">
      <c r="A513" s="13" t="s">
        <v>1266</v>
      </c>
      <c r="B513" s="9" t="s">
        <v>1267</v>
      </c>
      <c r="C513" s="8">
        <f>COUNTA(C514:C520)</f>
        <v>4</v>
      </c>
      <c r="D513" s="8"/>
      <c r="E513" s="8">
        <f>COUNTA(E514:E520)</f>
        <v>7</v>
      </c>
      <c r="F513" s="10"/>
      <c r="G513" s="14" t="s">
        <v>111</v>
      </c>
      <c r="H513" s="14" t="s">
        <v>112</v>
      </c>
    </row>
    <row r="514" spans="1:8" ht="55.5" customHeight="1" x14ac:dyDescent="0.2">
      <c r="A514" s="17">
        <v>437</v>
      </c>
      <c r="B514" s="16" t="s">
        <v>1268</v>
      </c>
      <c r="C514" s="50" t="s">
        <v>1269</v>
      </c>
      <c r="D514" s="50" t="s">
        <v>1270</v>
      </c>
      <c r="E514" s="35" t="s">
        <v>8</v>
      </c>
      <c r="F514" s="17" t="s">
        <v>1253</v>
      </c>
      <c r="G514" s="14" t="s">
        <v>111</v>
      </c>
      <c r="H514" s="14" t="s">
        <v>112</v>
      </c>
    </row>
    <row r="515" spans="1:8" ht="66" customHeight="1" x14ac:dyDescent="0.2">
      <c r="A515" s="17">
        <v>438</v>
      </c>
      <c r="B515" s="16" t="s">
        <v>1271</v>
      </c>
      <c r="C515" s="50"/>
      <c r="D515" s="50"/>
      <c r="E515" s="35" t="s">
        <v>8</v>
      </c>
      <c r="F515" s="17" t="s">
        <v>1253</v>
      </c>
      <c r="G515" s="14" t="s">
        <v>111</v>
      </c>
      <c r="H515" s="14" t="s">
        <v>112</v>
      </c>
    </row>
    <row r="516" spans="1:8" ht="84" customHeight="1" x14ac:dyDescent="0.2">
      <c r="A516" s="17">
        <v>439</v>
      </c>
      <c r="B516" s="16" t="s">
        <v>1272</v>
      </c>
      <c r="C516" s="17" t="s">
        <v>1273</v>
      </c>
      <c r="D516" s="17" t="s">
        <v>1274</v>
      </c>
      <c r="E516" s="35" t="s">
        <v>8</v>
      </c>
      <c r="F516" s="17" t="s">
        <v>1253</v>
      </c>
      <c r="G516" s="14" t="s">
        <v>111</v>
      </c>
      <c r="H516" s="14" t="s">
        <v>112</v>
      </c>
    </row>
    <row r="517" spans="1:8" ht="38.25" x14ac:dyDescent="0.2">
      <c r="A517" s="17">
        <v>440</v>
      </c>
      <c r="B517" s="16" t="s">
        <v>1275</v>
      </c>
      <c r="C517" s="17" t="s">
        <v>1276</v>
      </c>
      <c r="D517" s="17" t="s">
        <v>1277</v>
      </c>
      <c r="E517" s="35" t="s">
        <v>8</v>
      </c>
      <c r="F517" s="17" t="s">
        <v>1253</v>
      </c>
      <c r="G517" s="14" t="s">
        <v>111</v>
      </c>
      <c r="H517" s="14" t="s">
        <v>112</v>
      </c>
    </row>
    <row r="518" spans="1:8" ht="30.75" customHeight="1" x14ac:dyDescent="0.2">
      <c r="A518" s="17">
        <v>441</v>
      </c>
      <c r="B518" s="16" t="s">
        <v>1278</v>
      </c>
      <c r="C518" s="50" t="s">
        <v>1279</v>
      </c>
      <c r="D518" s="50" t="s">
        <v>1280</v>
      </c>
      <c r="E518" s="17" t="s">
        <v>8</v>
      </c>
      <c r="F518" s="17" t="s">
        <v>1255</v>
      </c>
      <c r="G518" s="14" t="s">
        <v>111</v>
      </c>
      <c r="H518" s="14" t="s">
        <v>112</v>
      </c>
    </row>
    <row r="519" spans="1:8" ht="30.75" customHeight="1" x14ac:dyDescent="0.2">
      <c r="A519" s="17">
        <v>442</v>
      </c>
      <c r="B519" s="16" t="s">
        <v>1281</v>
      </c>
      <c r="C519" s="50"/>
      <c r="D519" s="50"/>
      <c r="E519" s="17" t="s">
        <v>8</v>
      </c>
      <c r="F519" s="17" t="s">
        <v>1255</v>
      </c>
      <c r="G519" s="14" t="s">
        <v>111</v>
      </c>
      <c r="H519" s="14" t="s">
        <v>112</v>
      </c>
    </row>
    <row r="520" spans="1:8" ht="30.75" customHeight="1" x14ac:dyDescent="0.2">
      <c r="A520" s="17">
        <v>443</v>
      </c>
      <c r="B520" s="16" t="s">
        <v>1282</v>
      </c>
      <c r="C520" s="50"/>
      <c r="D520" s="50"/>
      <c r="E520" s="17" t="s">
        <v>8</v>
      </c>
      <c r="F520" s="17" t="s">
        <v>1255</v>
      </c>
      <c r="G520" s="14" t="s">
        <v>111</v>
      </c>
      <c r="H520" s="14" t="s">
        <v>112</v>
      </c>
    </row>
    <row r="521" spans="1:8" ht="30.75" customHeight="1" x14ac:dyDescent="0.2">
      <c r="A521" s="13" t="s">
        <v>1283</v>
      </c>
      <c r="B521" s="9" t="s">
        <v>1284</v>
      </c>
      <c r="C521" s="8">
        <f>COUNTA(C522:C524)</f>
        <v>2</v>
      </c>
      <c r="D521" s="8"/>
      <c r="E521" s="8">
        <f>COUNTA(E522:E524)</f>
        <v>3</v>
      </c>
      <c r="F521" s="17"/>
      <c r="G521" s="14" t="s">
        <v>111</v>
      </c>
      <c r="H521" s="14" t="s">
        <v>112</v>
      </c>
    </row>
    <row r="522" spans="1:8" ht="47.25" customHeight="1" x14ac:dyDescent="0.2">
      <c r="A522" s="17">
        <v>444</v>
      </c>
      <c r="B522" s="16" t="s">
        <v>1285</v>
      </c>
      <c r="C522" s="50" t="s">
        <v>1286</v>
      </c>
      <c r="D522" s="50" t="s">
        <v>1287</v>
      </c>
      <c r="E522" s="35" t="s">
        <v>8</v>
      </c>
      <c r="F522" s="17" t="s">
        <v>1253</v>
      </c>
      <c r="G522" s="14" t="s">
        <v>111</v>
      </c>
      <c r="H522" s="14" t="s">
        <v>112</v>
      </c>
    </row>
    <row r="523" spans="1:8" ht="45" customHeight="1" x14ac:dyDescent="0.2">
      <c r="A523" s="17">
        <v>445</v>
      </c>
      <c r="B523" s="16" t="s">
        <v>1288</v>
      </c>
      <c r="C523" s="50"/>
      <c r="D523" s="50"/>
      <c r="E523" s="35" t="s">
        <v>8</v>
      </c>
      <c r="F523" s="17" t="s">
        <v>1253</v>
      </c>
      <c r="G523" s="14" t="s">
        <v>111</v>
      </c>
      <c r="H523" s="14" t="s">
        <v>112</v>
      </c>
    </row>
    <row r="524" spans="1:8" ht="72" customHeight="1" x14ac:dyDescent="0.2">
      <c r="A524" s="17">
        <v>446</v>
      </c>
      <c r="B524" s="16" t="s">
        <v>1289</v>
      </c>
      <c r="C524" s="17" t="s">
        <v>1261</v>
      </c>
      <c r="D524" s="17" t="s">
        <v>1261</v>
      </c>
      <c r="E524" s="35" t="s">
        <v>8</v>
      </c>
      <c r="F524" s="17" t="s">
        <v>1253</v>
      </c>
      <c r="G524" s="14" t="s">
        <v>111</v>
      </c>
      <c r="H524" s="14" t="s">
        <v>112</v>
      </c>
    </row>
    <row r="525" spans="1:8" ht="30.75" customHeight="1" x14ac:dyDescent="0.2">
      <c r="A525" s="13" t="s">
        <v>1290</v>
      </c>
      <c r="B525" s="9" t="s">
        <v>1291</v>
      </c>
      <c r="C525" s="8">
        <f>COUNTA(C526:C537)</f>
        <v>3</v>
      </c>
      <c r="D525" s="8"/>
      <c r="E525" s="8">
        <f>COUNTA(E526:E537)</f>
        <v>12</v>
      </c>
      <c r="F525" s="17"/>
      <c r="G525" s="14" t="s">
        <v>111</v>
      </c>
      <c r="H525" s="14" t="s">
        <v>112</v>
      </c>
    </row>
    <row r="526" spans="1:8" ht="30.75" customHeight="1" x14ac:dyDescent="0.2">
      <c r="A526" s="17">
        <v>447</v>
      </c>
      <c r="B526" s="16" t="s">
        <v>1292</v>
      </c>
      <c r="C526" s="50" t="s">
        <v>1293</v>
      </c>
      <c r="D526" s="50" t="s">
        <v>1294</v>
      </c>
      <c r="E526" s="17" t="s">
        <v>8</v>
      </c>
      <c r="F526" s="17" t="s">
        <v>1295</v>
      </c>
      <c r="G526" s="14" t="s">
        <v>111</v>
      </c>
      <c r="H526" s="14" t="s">
        <v>112</v>
      </c>
    </row>
    <row r="527" spans="1:8" ht="30.75" customHeight="1" x14ac:dyDescent="0.2">
      <c r="A527" s="17">
        <v>448</v>
      </c>
      <c r="B527" s="16" t="s">
        <v>1296</v>
      </c>
      <c r="C527" s="50"/>
      <c r="D527" s="50"/>
      <c r="E527" s="17" t="s">
        <v>8</v>
      </c>
      <c r="F527" s="17" t="s">
        <v>1295</v>
      </c>
      <c r="G527" s="14" t="s">
        <v>111</v>
      </c>
      <c r="H527" s="14" t="s">
        <v>112</v>
      </c>
    </row>
    <row r="528" spans="1:8" ht="30.75" customHeight="1" x14ac:dyDescent="0.2">
      <c r="A528" s="17">
        <v>449</v>
      </c>
      <c r="B528" s="16" t="s">
        <v>1297</v>
      </c>
      <c r="C528" s="50"/>
      <c r="D528" s="50"/>
      <c r="E528" s="17" t="s">
        <v>8</v>
      </c>
      <c r="F528" s="17" t="s">
        <v>1295</v>
      </c>
      <c r="G528" s="14" t="s">
        <v>111</v>
      </c>
      <c r="H528" s="14" t="s">
        <v>112</v>
      </c>
    </row>
    <row r="529" spans="1:8" ht="30.75" customHeight="1" x14ac:dyDescent="0.2">
      <c r="A529" s="17">
        <v>450</v>
      </c>
      <c r="B529" s="16" t="s">
        <v>1298</v>
      </c>
      <c r="C529" s="50"/>
      <c r="D529" s="50"/>
      <c r="E529" s="17" t="s">
        <v>8</v>
      </c>
      <c r="F529" s="17" t="s">
        <v>1295</v>
      </c>
      <c r="G529" s="14" t="s">
        <v>111</v>
      </c>
      <c r="H529" s="14" t="s">
        <v>112</v>
      </c>
    </row>
    <row r="530" spans="1:8" ht="25.5" x14ac:dyDescent="0.2">
      <c r="A530" s="17">
        <v>451</v>
      </c>
      <c r="B530" s="16" t="s">
        <v>1299</v>
      </c>
      <c r="C530" s="50" t="s">
        <v>1300</v>
      </c>
      <c r="D530" s="50" t="s">
        <v>1301</v>
      </c>
      <c r="E530" s="17" t="s">
        <v>8</v>
      </c>
      <c r="F530" s="17" t="s">
        <v>1302</v>
      </c>
      <c r="G530" s="14" t="s">
        <v>111</v>
      </c>
      <c r="H530" s="14" t="s">
        <v>112</v>
      </c>
    </row>
    <row r="531" spans="1:8" ht="25.5" x14ac:dyDescent="0.2">
      <c r="A531" s="17">
        <v>452</v>
      </c>
      <c r="B531" s="16" t="s">
        <v>1303</v>
      </c>
      <c r="C531" s="50"/>
      <c r="D531" s="50"/>
      <c r="E531" s="17" t="s">
        <v>8</v>
      </c>
      <c r="F531" s="17" t="s">
        <v>1302</v>
      </c>
      <c r="G531" s="14" t="s">
        <v>111</v>
      </c>
      <c r="H531" s="14" t="s">
        <v>112</v>
      </c>
    </row>
    <row r="532" spans="1:8" ht="30.75" customHeight="1" x14ac:dyDescent="0.2">
      <c r="A532" s="17">
        <v>453</v>
      </c>
      <c r="B532" s="16" t="s">
        <v>1304</v>
      </c>
      <c r="C532" s="50"/>
      <c r="D532" s="50"/>
      <c r="E532" s="8" t="s">
        <v>7</v>
      </c>
      <c r="F532" s="18" t="s">
        <v>110</v>
      </c>
      <c r="G532" s="14" t="s">
        <v>111</v>
      </c>
      <c r="H532" s="14" t="s">
        <v>112</v>
      </c>
    </row>
    <row r="533" spans="1:8" ht="30.75" customHeight="1" x14ac:dyDescent="0.2">
      <c r="A533" s="17">
        <v>454</v>
      </c>
      <c r="B533" s="16" t="s">
        <v>1305</v>
      </c>
      <c r="C533" s="50"/>
      <c r="D533" s="50"/>
      <c r="E533" s="8" t="s">
        <v>7</v>
      </c>
      <c r="F533" s="18" t="s">
        <v>110</v>
      </c>
      <c r="G533" s="14" t="s">
        <v>111</v>
      </c>
      <c r="H533" s="14" t="s">
        <v>112</v>
      </c>
    </row>
    <row r="534" spans="1:8" ht="30.75" customHeight="1" x14ac:dyDescent="0.2">
      <c r="A534" s="17">
        <v>455</v>
      </c>
      <c r="B534" s="16" t="s">
        <v>1306</v>
      </c>
      <c r="C534" s="50"/>
      <c r="D534" s="50"/>
      <c r="E534" s="8" t="s">
        <v>7</v>
      </c>
      <c r="F534" s="18" t="s">
        <v>110</v>
      </c>
      <c r="G534" s="14" t="s">
        <v>111</v>
      </c>
      <c r="H534" s="14" t="s">
        <v>112</v>
      </c>
    </row>
    <row r="535" spans="1:8" ht="30.75" customHeight="1" x14ac:dyDescent="0.2">
      <c r="A535" s="17">
        <v>456</v>
      </c>
      <c r="B535" s="16" t="s">
        <v>1307</v>
      </c>
      <c r="C535" s="50"/>
      <c r="D535" s="50"/>
      <c r="E535" s="8" t="s">
        <v>7</v>
      </c>
      <c r="F535" s="18" t="s">
        <v>110</v>
      </c>
      <c r="G535" s="14" t="s">
        <v>111</v>
      </c>
      <c r="H535" s="14" t="s">
        <v>112</v>
      </c>
    </row>
    <row r="536" spans="1:8" ht="30.75" customHeight="1" x14ac:dyDescent="0.2">
      <c r="A536" s="17">
        <v>457</v>
      </c>
      <c r="B536" s="16" t="s">
        <v>1308</v>
      </c>
      <c r="C536" s="50" t="s">
        <v>1309</v>
      </c>
      <c r="D536" s="50" t="s">
        <v>1310</v>
      </c>
      <c r="E536" s="14" t="s">
        <v>8</v>
      </c>
      <c r="F536" s="20" t="s">
        <v>110</v>
      </c>
      <c r="G536" s="14" t="s">
        <v>111</v>
      </c>
      <c r="H536" s="14" t="s">
        <v>112</v>
      </c>
    </row>
    <row r="537" spans="1:8" ht="30.75" customHeight="1" x14ac:dyDescent="0.2">
      <c r="A537" s="17">
        <v>458</v>
      </c>
      <c r="B537" s="16" t="s">
        <v>1311</v>
      </c>
      <c r="C537" s="50"/>
      <c r="D537" s="50"/>
      <c r="E537" s="14" t="s">
        <v>8</v>
      </c>
      <c r="F537" s="20" t="s">
        <v>110</v>
      </c>
      <c r="G537" s="14" t="s">
        <v>111</v>
      </c>
      <c r="H537" s="14" t="s">
        <v>112</v>
      </c>
    </row>
    <row r="538" spans="1:8" ht="30.75" customHeight="1" x14ac:dyDescent="0.2">
      <c r="A538" s="29" t="s">
        <v>1312</v>
      </c>
      <c r="B538" s="9" t="s">
        <v>1313</v>
      </c>
      <c r="C538" s="8">
        <f>COUNTA(C539:C543)</f>
        <v>4</v>
      </c>
      <c r="D538" s="8"/>
      <c r="E538" s="8">
        <f>COUNTA(E539:E543)</f>
        <v>5</v>
      </c>
      <c r="F538" s="17"/>
      <c r="G538" s="14" t="s">
        <v>111</v>
      </c>
      <c r="H538" s="14" t="s">
        <v>112</v>
      </c>
    </row>
    <row r="539" spans="1:8" ht="54" customHeight="1" x14ac:dyDescent="0.2">
      <c r="A539" s="17">
        <v>459</v>
      </c>
      <c r="B539" s="30" t="s">
        <v>1314</v>
      </c>
      <c r="C539" s="17" t="s">
        <v>1315</v>
      </c>
      <c r="D539" s="17" t="s">
        <v>1316</v>
      </c>
      <c r="E539" s="14" t="s">
        <v>8</v>
      </c>
      <c r="F539" s="20" t="s">
        <v>110</v>
      </c>
      <c r="G539" s="14" t="s">
        <v>111</v>
      </c>
      <c r="H539" s="14" t="s">
        <v>112</v>
      </c>
    </row>
    <row r="540" spans="1:8" ht="76.5" customHeight="1" x14ac:dyDescent="0.2">
      <c r="A540" s="17">
        <v>460</v>
      </c>
      <c r="B540" s="16" t="s">
        <v>1317</v>
      </c>
      <c r="C540" s="17" t="s">
        <v>1318</v>
      </c>
      <c r="D540" s="17" t="s">
        <v>1319</v>
      </c>
      <c r="E540" s="17" t="s">
        <v>8</v>
      </c>
      <c r="F540" s="17" t="s">
        <v>1320</v>
      </c>
      <c r="G540" s="14" t="s">
        <v>111</v>
      </c>
      <c r="H540" s="14" t="s">
        <v>112</v>
      </c>
    </row>
    <row r="541" spans="1:8" ht="49.5" customHeight="1" x14ac:dyDescent="0.2">
      <c r="A541" s="17">
        <v>461</v>
      </c>
      <c r="B541" s="16" t="s">
        <v>1321</v>
      </c>
      <c r="C541" s="50" t="s">
        <v>1322</v>
      </c>
      <c r="D541" s="50" t="s">
        <v>1323</v>
      </c>
      <c r="E541" s="17" t="s">
        <v>1324</v>
      </c>
      <c r="F541" s="17" t="s">
        <v>1325</v>
      </c>
      <c r="G541" s="14" t="s">
        <v>111</v>
      </c>
      <c r="H541" s="14" t="s">
        <v>112</v>
      </c>
    </row>
    <row r="542" spans="1:8" ht="56.25" customHeight="1" x14ac:dyDescent="0.2">
      <c r="A542" s="17">
        <v>462</v>
      </c>
      <c r="B542" s="16" t="s">
        <v>1326</v>
      </c>
      <c r="C542" s="50"/>
      <c r="D542" s="50"/>
      <c r="E542" s="17" t="s">
        <v>1324</v>
      </c>
      <c r="F542" s="17" t="s">
        <v>1325</v>
      </c>
      <c r="G542" s="14" t="s">
        <v>147</v>
      </c>
      <c r="H542" s="14" t="s">
        <v>112</v>
      </c>
    </row>
    <row r="543" spans="1:8" ht="59.25" customHeight="1" x14ac:dyDescent="0.2">
      <c r="A543" s="17">
        <v>463</v>
      </c>
      <c r="B543" s="16" t="s">
        <v>1327</v>
      </c>
      <c r="C543" s="17" t="s">
        <v>1328</v>
      </c>
      <c r="D543" s="17" t="s">
        <v>1329</v>
      </c>
      <c r="E543" s="17" t="s">
        <v>1324</v>
      </c>
      <c r="F543" s="17" t="s">
        <v>1325</v>
      </c>
      <c r="G543" s="14" t="s">
        <v>147</v>
      </c>
      <c r="H543" s="14" t="s">
        <v>112</v>
      </c>
    </row>
    <row r="544" spans="1:8" ht="30.75" customHeight="1" x14ac:dyDescent="0.2">
      <c r="A544" s="13" t="s">
        <v>1330</v>
      </c>
      <c r="B544" s="9" t="s">
        <v>1331</v>
      </c>
      <c r="C544" s="8">
        <f>COUNTA(C545:C551)</f>
        <v>5</v>
      </c>
      <c r="D544" s="8"/>
      <c r="E544" s="8">
        <f>COUNTA(E545:E551)</f>
        <v>7</v>
      </c>
      <c r="F544" s="17"/>
      <c r="G544" s="14" t="s">
        <v>111</v>
      </c>
      <c r="H544" s="14" t="s">
        <v>112</v>
      </c>
    </row>
    <row r="545" spans="1:8" ht="38.25" x14ac:dyDescent="0.2">
      <c r="A545" s="17">
        <v>464</v>
      </c>
      <c r="B545" s="16" t="s">
        <v>1332</v>
      </c>
      <c r="C545" s="17" t="s">
        <v>1333</v>
      </c>
      <c r="D545" s="17" t="s">
        <v>1334</v>
      </c>
      <c r="E545" s="17" t="s">
        <v>1324</v>
      </c>
      <c r="F545" s="17" t="s">
        <v>1335</v>
      </c>
      <c r="G545" s="14" t="s">
        <v>111</v>
      </c>
      <c r="H545" s="14" t="s">
        <v>112</v>
      </c>
    </row>
    <row r="546" spans="1:8" ht="25.5" x14ac:dyDescent="0.2">
      <c r="A546" s="17">
        <v>465</v>
      </c>
      <c r="B546" s="16" t="s">
        <v>1336</v>
      </c>
      <c r="C546" s="17" t="s">
        <v>1337</v>
      </c>
      <c r="D546" s="17" t="s">
        <v>1338</v>
      </c>
      <c r="E546" s="17" t="s">
        <v>1324</v>
      </c>
      <c r="F546" s="17" t="s">
        <v>1335</v>
      </c>
      <c r="G546" s="14" t="s">
        <v>111</v>
      </c>
      <c r="H546" s="14" t="s">
        <v>112</v>
      </c>
    </row>
    <row r="547" spans="1:8" ht="25.5" x14ac:dyDescent="0.2">
      <c r="A547" s="17">
        <v>466</v>
      </c>
      <c r="B547" s="16" t="s">
        <v>1339</v>
      </c>
      <c r="C547" s="17" t="s">
        <v>1340</v>
      </c>
      <c r="D547" s="17" t="s">
        <v>1341</v>
      </c>
      <c r="E547" s="17" t="s">
        <v>1324</v>
      </c>
      <c r="F547" s="17" t="s">
        <v>110</v>
      </c>
      <c r="G547" s="14" t="s">
        <v>111</v>
      </c>
      <c r="H547" s="14" t="s">
        <v>112</v>
      </c>
    </row>
    <row r="548" spans="1:8" ht="30.75" customHeight="1" x14ac:dyDescent="0.2">
      <c r="A548" s="17">
        <v>467</v>
      </c>
      <c r="B548" s="16" t="s">
        <v>1342</v>
      </c>
      <c r="C548" s="50" t="s">
        <v>1343</v>
      </c>
      <c r="D548" s="50" t="s">
        <v>1344</v>
      </c>
      <c r="E548" s="17" t="s">
        <v>1324</v>
      </c>
      <c r="F548" s="17" t="s">
        <v>1335</v>
      </c>
      <c r="G548" s="14" t="s">
        <v>111</v>
      </c>
      <c r="H548" s="14" t="s">
        <v>112</v>
      </c>
    </row>
    <row r="549" spans="1:8" ht="30.75" customHeight="1" x14ac:dyDescent="0.2">
      <c r="A549" s="17">
        <v>468</v>
      </c>
      <c r="B549" s="16" t="s">
        <v>1345</v>
      </c>
      <c r="C549" s="50"/>
      <c r="D549" s="53"/>
      <c r="E549" s="17" t="s">
        <v>8</v>
      </c>
      <c r="F549" s="17" t="s">
        <v>1320</v>
      </c>
      <c r="G549" s="14" t="s">
        <v>111</v>
      </c>
      <c r="H549" s="14" t="s">
        <v>112</v>
      </c>
    </row>
    <row r="550" spans="1:8" ht="30.75" customHeight="1" x14ac:dyDescent="0.2">
      <c r="A550" s="17">
        <v>469</v>
      </c>
      <c r="B550" s="16" t="s">
        <v>1346</v>
      </c>
      <c r="C550" s="50"/>
      <c r="D550" s="53"/>
      <c r="E550" s="17" t="s">
        <v>8</v>
      </c>
      <c r="F550" s="17" t="s">
        <v>1320</v>
      </c>
      <c r="G550" s="14" t="s">
        <v>111</v>
      </c>
      <c r="H550" s="14" t="s">
        <v>112</v>
      </c>
    </row>
    <row r="551" spans="1:8" ht="38.25" x14ac:dyDescent="0.2">
      <c r="A551" s="17">
        <v>470</v>
      </c>
      <c r="B551" s="16" t="s">
        <v>1347</v>
      </c>
      <c r="C551" s="17" t="s">
        <v>1348</v>
      </c>
      <c r="D551" s="14"/>
      <c r="E551" s="17" t="s">
        <v>8</v>
      </c>
      <c r="F551" s="17" t="s">
        <v>1320</v>
      </c>
      <c r="G551" s="14" t="s">
        <v>111</v>
      </c>
      <c r="H551" s="14" t="s">
        <v>112</v>
      </c>
    </row>
    <row r="552" spans="1:8" ht="30.75" customHeight="1" x14ac:dyDescent="0.2">
      <c r="A552" s="29" t="s">
        <v>1349</v>
      </c>
      <c r="B552" s="9" t="s">
        <v>1350</v>
      </c>
      <c r="C552" s="8">
        <f>COUNTA(C553:C555)</f>
        <v>2</v>
      </c>
      <c r="D552" s="8"/>
      <c r="E552" s="8">
        <f>COUNTA(E553:E555)</f>
        <v>3</v>
      </c>
      <c r="F552" s="17"/>
      <c r="G552" s="14" t="s">
        <v>111</v>
      </c>
      <c r="H552" s="14" t="s">
        <v>112</v>
      </c>
    </row>
    <row r="553" spans="1:8" ht="48.75" customHeight="1" x14ac:dyDescent="0.2">
      <c r="A553" s="17">
        <v>471</v>
      </c>
      <c r="B553" s="30" t="s">
        <v>1351</v>
      </c>
      <c r="C553" s="21" t="s">
        <v>1352</v>
      </c>
      <c r="D553" s="17" t="s">
        <v>1353</v>
      </c>
      <c r="E553" s="14" t="s">
        <v>8</v>
      </c>
      <c r="F553" s="20" t="s">
        <v>110</v>
      </c>
      <c r="G553" s="14" t="s">
        <v>111</v>
      </c>
      <c r="H553" s="14" t="s">
        <v>112</v>
      </c>
    </row>
    <row r="554" spans="1:8" ht="51.75" customHeight="1" x14ac:dyDescent="0.2">
      <c r="A554" s="17">
        <v>472</v>
      </c>
      <c r="B554" s="16" t="s">
        <v>1354</v>
      </c>
      <c r="C554" s="50" t="s">
        <v>1355</v>
      </c>
      <c r="D554" s="50" t="s">
        <v>1356</v>
      </c>
      <c r="E554" s="17" t="s">
        <v>8</v>
      </c>
      <c r="F554" s="17" t="s">
        <v>1320</v>
      </c>
      <c r="G554" s="14" t="s">
        <v>111</v>
      </c>
      <c r="H554" s="14" t="s">
        <v>112</v>
      </c>
    </row>
    <row r="555" spans="1:8" ht="25.5" x14ac:dyDescent="0.2">
      <c r="A555" s="17">
        <v>473</v>
      </c>
      <c r="B555" s="16" t="s">
        <v>1357</v>
      </c>
      <c r="C555" s="50"/>
      <c r="D555" s="50"/>
      <c r="E555" s="17" t="s">
        <v>1324</v>
      </c>
      <c r="F555" s="17" t="s">
        <v>1325</v>
      </c>
      <c r="G555" s="14" t="s">
        <v>111</v>
      </c>
      <c r="H555" s="14" t="s">
        <v>112</v>
      </c>
    </row>
    <row r="556" spans="1:8" ht="30.75" customHeight="1" x14ac:dyDescent="0.2">
      <c r="A556" s="13" t="s">
        <v>1358</v>
      </c>
      <c r="B556" s="9" t="s">
        <v>1359</v>
      </c>
      <c r="C556" s="8">
        <f>COUNTA(C557:C596)</f>
        <v>14</v>
      </c>
      <c r="D556" s="8"/>
      <c r="E556" s="8">
        <f>COUNTA(E557:E596)</f>
        <v>40</v>
      </c>
      <c r="F556" s="17"/>
      <c r="G556" s="14" t="s">
        <v>111</v>
      </c>
      <c r="H556" s="14" t="s">
        <v>112</v>
      </c>
    </row>
    <row r="557" spans="1:8" ht="30.75" customHeight="1" x14ac:dyDescent="0.2">
      <c r="A557" s="17">
        <v>474</v>
      </c>
      <c r="B557" s="16" t="s">
        <v>1360</v>
      </c>
      <c r="C557" s="50" t="s">
        <v>1361</v>
      </c>
      <c r="D557" s="52" t="s">
        <v>1362</v>
      </c>
      <c r="E557" s="17" t="s">
        <v>1324</v>
      </c>
      <c r="F557" s="17" t="s">
        <v>1363</v>
      </c>
      <c r="G557" s="14" t="s">
        <v>111</v>
      </c>
      <c r="H557" s="14" t="s">
        <v>112</v>
      </c>
    </row>
    <row r="558" spans="1:8" ht="30.75" customHeight="1" x14ac:dyDescent="0.2">
      <c r="A558" s="17">
        <v>475</v>
      </c>
      <c r="B558" s="16" t="s">
        <v>1364</v>
      </c>
      <c r="C558" s="50"/>
      <c r="D558" s="52"/>
      <c r="E558" s="17" t="s">
        <v>1324</v>
      </c>
      <c r="F558" s="17" t="s">
        <v>1363</v>
      </c>
      <c r="G558" s="14" t="s">
        <v>111</v>
      </c>
      <c r="H558" s="14" t="s">
        <v>112</v>
      </c>
    </row>
    <row r="559" spans="1:8" ht="30.75" customHeight="1" x14ac:dyDescent="0.2">
      <c r="A559" s="17">
        <v>476</v>
      </c>
      <c r="B559" s="16" t="s">
        <v>1365</v>
      </c>
      <c r="C559" s="50"/>
      <c r="D559" s="52"/>
      <c r="E559" s="17" t="s">
        <v>1324</v>
      </c>
      <c r="F559" s="17" t="s">
        <v>1363</v>
      </c>
      <c r="G559" s="14" t="s">
        <v>111</v>
      </c>
      <c r="H559" s="14" t="s">
        <v>112</v>
      </c>
    </row>
    <row r="560" spans="1:8" ht="30.75" customHeight="1" x14ac:dyDescent="0.2">
      <c r="A560" s="17">
        <v>477</v>
      </c>
      <c r="B560" s="16" t="s">
        <v>1366</v>
      </c>
      <c r="C560" s="50"/>
      <c r="D560" s="52"/>
      <c r="E560" s="17" t="s">
        <v>1324</v>
      </c>
      <c r="F560" s="17" t="s">
        <v>1363</v>
      </c>
      <c r="G560" s="14" t="s">
        <v>111</v>
      </c>
      <c r="H560" s="14" t="s">
        <v>112</v>
      </c>
    </row>
    <row r="561" spans="1:8" ht="30.75" customHeight="1" x14ac:dyDescent="0.2">
      <c r="A561" s="17">
        <v>478</v>
      </c>
      <c r="B561" s="16" t="s">
        <v>1367</v>
      </c>
      <c r="C561" s="50"/>
      <c r="D561" s="52"/>
      <c r="E561" s="17" t="s">
        <v>1324</v>
      </c>
      <c r="F561" s="17" t="s">
        <v>1363</v>
      </c>
      <c r="G561" s="14" t="s">
        <v>147</v>
      </c>
      <c r="H561" s="14" t="s">
        <v>112</v>
      </c>
    </row>
    <row r="562" spans="1:8" ht="30.75" customHeight="1" x14ac:dyDescent="0.2">
      <c r="A562" s="17">
        <v>479</v>
      </c>
      <c r="B562" s="16" t="s">
        <v>1368</v>
      </c>
      <c r="C562" s="50"/>
      <c r="D562" s="52"/>
      <c r="E562" s="17" t="s">
        <v>1324</v>
      </c>
      <c r="F562" s="17" t="s">
        <v>1363</v>
      </c>
      <c r="G562" s="14" t="s">
        <v>353</v>
      </c>
      <c r="H562" s="14" t="s">
        <v>112</v>
      </c>
    </row>
    <row r="563" spans="1:8" ht="30.75" customHeight="1" x14ac:dyDescent="0.2">
      <c r="A563" s="17">
        <v>480</v>
      </c>
      <c r="B563" s="16" t="s">
        <v>1369</v>
      </c>
      <c r="C563" s="50"/>
      <c r="D563" s="52"/>
      <c r="E563" s="17" t="s">
        <v>1324</v>
      </c>
      <c r="F563" s="17" t="s">
        <v>1363</v>
      </c>
      <c r="G563" s="14" t="s">
        <v>111</v>
      </c>
      <c r="H563" s="14" t="s">
        <v>112</v>
      </c>
    </row>
    <row r="564" spans="1:8" ht="30.75" customHeight="1" x14ac:dyDescent="0.2">
      <c r="A564" s="17">
        <v>481</v>
      </c>
      <c r="B564" s="16" t="s">
        <v>1370</v>
      </c>
      <c r="C564" s="50"/>
      <c r="D564" s="52"/>
      <c r="E564" s="17" t="s">
        <v>1324</v>
      </c>
      <c r="F564" s="17" t="s">
        <v>1363</v>
      </c>
      <c r="G564" s="14" t="s">
        <v>111</v>
      </c>
      <c r="H564" s="14" t="s">
        <v>112</v>
      </c>
    </row>
    <row r="565" spans="1:8" ht="30.75" customHeight="1" x14ac:dyDescent="0.2">
      <c r="A565" s="17">
        <v>482</v>
      </c>
      <c r="B565" s="16" t="s">
        <v>1371</v>
      </c>
      <c r="C565" s="50"/>
      <c r="D565" s="52"/>
      <c r="E565" s="17" t="s">
        <v>1324</v>
      </c>
      <c r="F565" s="17" t="s">
        <v>1363</v>
      </c>
      <c r="G565" s="14" t="s">
        <v>111</v>
      </c>
      <c r="H565" s="14" t="s">
        <v>112</v>
      </c>
    </row>
    <row r="566" spans="1:8" ht="30.75" customHeight="1" x14ac:dyDescent="0.2">
      <c r="A566" s="17">
        <v>483</v>
      </c>
      <c r="B566" s="16" t="s">
        <v>1372</v>
      </c>
      <c r="C566" s="50"/>
      <c r="D566" s="52"/>
      <c r="E566" s="17" t="s">
        <v>1324</v>
      </c>
      <c r="F566" s="17" t="s">
        <v>1363</v>
      </c>
      <c r="G566" s="14" t="s">
        <v>111</v>
      </c>
      <c r="H566" s="14" t="s">
        <v>112</v>
      </c>
    </row>
    <row r="567" spans="1:8" ht="25.5" x14ac:dyDescent="0.2">
      <c r="A567" s="17">
        <v>484</v>
      </c>
      <c r="B567" s="16" t="s">
        <v>1373</v>
      </c>
      <c r="C567" s="50"/>
      <c r="D567" s="52"/>
      <c r="E567" s="17" t="s">
        <v>1324</v>
      </c>
      <c r="F567" s="17" t="s">
        <v>1374</v>
      </c>
      <c r="G567" s="14" t="s">
        <v>353</v>
      </c>
      <c r="H567" s="14" t="s">
        <v>112</v>
      </c>
    </row>
    <row r="568" spans="1:8" ht="30.75" customHeight="1" x14ac:dyDescent="0.2">
      <c r="A568" s="17">
        <v>485</v>
      </c>
      <c r="B568" s="9" t="s">
        <v>1375</v>
      </c>
      <c r="C568" s="50"/>
      <c r="D568" s="52"/>
      <c r="E568" s="10" t="s">
        <v>7</v>
      </c>
      <c r="F568" s="10" t="s">
        <v>1376</v>
      </c>
      <c r="G568" s="14" t="s">
        <v>147</v>
      </c>
      <c r="H568" s="14" t="s">
        <v>112</v>
      </c>
    </row>
    <row r="569" spans="1:8" ht="30.75" customHeight="1" x14ac:dyDescent="0.2">
      <c r="A569" s="17">
        <v>486</v>
      </c>
      <c r="B569" s="9" t="s">
        <v>1377</v>
      </c>
      <c r="C569" s="50"/>
      <c r="D569" s="52"/>
      <c r="E569" s="10" t="s">
        <v>7</v>
      </c>
      <c r="F569" s="10" t="s">
        <v>1376</v>
      </c>
      <c r="G569" s="14" t="s">
        <v>147</v>
      </c>
      <c r="H569" s="14" t="s">
        <v>112</v>
      </c>
    </row>
    <row r="570" spans="1:8" ht="30.75" customHeight="1" x14ac:dyDescent="0.2">
      <c r="A570" s="17">
        <v>487</v>
      </c>
      <c r="B570" s="16" t="s">
        <v>1378</v>
      </c>
      <c r="C570" s="50" t="s">
        <v>1379</v>
      </c>
      <c r="D570" s="52" t="s">
        <v>1380</v>
      </c>
      <c r="E570" s="17" t="s">
        <v>1324</v>
      </c>
      <c r="F570" s="17" t="s">
        <v>1363</v>
      </c>
      <c r="G570" s="14" t="s">
        <v>147</v>
      </c>
      <c r="H570" s="14" t="s">
        <v>112</v>
      </c>
    </row>
    <row r="571" spans="1:8" ht="30.75" customHeight="1" x14ac:dyDescent="0.2">
      <c r="A571" s="17">
        <v>488</v>
      </c>
      <c r="B571" s="16" t="s">
        <v>1381</v>
      </c>
      <c r="C571" s="50"/>
      <c r="D571" s="50"/>
      <c r="E571" s="17" t="s">
        <v>1324</v>
      </c>
      <c r="F571" s="17" t="s">
        <v>1363</v>
      </c>
      <c r="G571" s="14" t="s">
        <v>147</v>
      </c>
      <c r="H571" s="14" t="s">
        <v>112</v>
      </c>
    </row>
    <row r="572" spans="1:8" ht="30.75" customHeight="1" x14ac:dyDescent="0.2">
      <c r="A572" s="17">
        <v>489</v>
      </c>
      <c r="B572" s="16" t="s">
        <v>1382</v>
      </c>
      <c r="C572" s="50"/>
      <c r="D572" s="50"/>
      <c r="E572" s="17" t="s">
        <v>1324</v>
      </c>
      <c r="F572" s="17" t="s">
        <v>1363</v>
      </c>
      <c r="G572" s="14" t="s">
        <v>147</v>
      </c>
      <c r="H572" s="14" t="s">
        <v>112</v>
      </c>
    </row>
    <row r="573" spans="1:8" ht="30.75" customHeight="1" x14ac:dyDescent="0.2">
      <c r="A573" s="17">
        <v>490</v>
      </c>
      <c r="B573" s="9" t="s">
        <v>1383</v>
      </c>
      <c r="C573" s="50"/>
      <c r="D573" s="50"/>
      <c r="E573" s="10" t="s">
        <v>7</v>
      </c>
      <c r="F573" s="17" t="s">
        <v>974</v>
      </c>
      <c r="G573" s="14" t="s">
        <v>147</v>
      </c>
      <c r="H573" s="14" t="s">
        <v>112</v>
      </c>
    </row>
    <row r="574" spans="1:8" ht="30.75" customHeight="1" x14ac:dyDescent="0.2">
      <c r="A574" s="17">
        <v>491</v>
      </c>
      <c r="B574" s="9" t="s">
        <v>1384</v>
      </c>
      <c r="C574" s="50"/>
      <c r="D574" s="50"/>
      <c r="E574" s="10" t="s">
        <v>7</v>
      </c>
      <c r="F574" s="17" t="s">
        <v>974</v>
      </c>
      <c r="G574" s="14" t="s">
        <v>147</v>
      </c>
      <c r="H574" s="14" t="s">
        <v>112</v>
      </c>
    </row>
    <row r="575" spans="1:8" ht="25.5" x14ac:dyDescent="0.2">
      <c r="A575" s="17">
        <v>492</v>
      </c>
      <c r="B575" s="16" t="s">
        <v>1385</v>
      </c>
      <c r="C575" s="50" t="s">
        <v>1386</v>
      </c>
      <c r="D575" s="50" t="s">
        <v>1387</v>
      </c>
      <c r="E575" s="17" t="s">
        <v>1324</v>
      </c>
      <c r="F575" s="17" t="s">
        <v>1363</v>
      </c>
      <c r="G575" s="14" t="s">
        <v>147</v>
      </c>
      <c r="H575" s="14" t="s">
        <v>112</v>
      </c>
    </row>
    <row r="576" spans="1:8" ht="25.5" x14ac:dyDescent="0.2">
      <c r="A576" s="17">
        <v>493</v>
      </c>
      <c r="B576" s="16" t="s">
        <v>1388</v>
      </c>
      <c r="C576" s="50"/>
      <c r="D576" s="50"/>
      <c r="E576" s="17" t="s">
        <v>1324</v>
      </c>
      <c r="F576" s="17" t="s">
        <v>1374</v>
      </c>
      <c r="G576" s="14" t="s">
        <v>147</v>
      </c>
      <c r="H576" s="14" t="s">
        <v>112</v>
      </c>
    </row>
    <row r="577" spans="1:8" ht="30.75" customHeight="1" x14ac:dyDescent="0.2">
      <c r="A577" s="17">
        <v>494</v>
      </c>
      <c r="B577" s="16" t="s">
        <v>1389</v>
      </c>
      <c r="C577" s="50" t="s">
        <v>1390</v>
      </c>
      <c r="D577" s="51" t="s">
        <v>1391</v>
      </c>
      <c r="E577" s="17" t="s">
        <v>1324</v>
      </c>
      <c r="F577" s="17" t="s">
        <v>1363</v>
      </c>
      <c r="G577" s="14" t="s">
        <v>111</v>
      </c>
      <c r="H577" s="14" t="s">
        <v>112</v>
      </c>
    </row>
    <row r="578" spans="1:8" ht="30.75" customHeight="1" x14ac:dyDescent="0.2">
      <c r="A578" s="17">
        <v>495</v>
      </c>
      <c r="B578" s="16" t="s">
        <v>1392</v>
      </c>
      <c r="C578" s="50"/>
      <c r="D578" s="51"/>
      <c r="E578" s="17" t="s">
        <v>1324</v>
      </c>
      <c r="F578" s="17" t="s">
        <v>1393</v>
      </c>
      <c r="G578" s="14" t="s">
        <v>111</v>
      </c>
      <c r="H578" s="14" t="s">
        <v>112</v>
      </c>
    </row>
    <row r="579" spans="1:8" ht="38.25" x14ac:dyDescent="0.2">
      <c r="A579" s="17">
        <v>496</v>
      </c>
      <c r="B579" s="16" t="s">
        <v>1394</v>
      </c>
      <c r="C579" s="17" t="s">
        <v>1395</v>
      </c>
      <c r="D579" s="17" t="s">
        <v>1396</v>
      </c>
      <c r="E579" s="17" t="s">
        <v>1324</v>
      </c>
      <c r="F579" s="17" t="s">
        <v>1363</v>
      </c>
      <c r="G579" s="14" t="s">
        <v>111</v>
      </c>
      <c r="H579" s="14" t="s">
        <v>112</v>
      </c>
    </row>
    <row r="580" spans="1:8" ht="25.5" x14ac:dyDescent="0.2">
      <c r="A580" s="17">
        <v>497</v>
      </c>
      <c r="B580" s="16" t="s">
        <v>1397</v>
      </c>
      <c r="C580" s="17" t="s">
        <v>1398</v>
      </c>
      <c r="D580" s="17" t="s">
        <v>1399</v>
      </c>
      <c r="E580" s="17" t="s">
        <v>1324</v>
      </c>
      <c r="F580" s="17" t="s">
        <v>1400</v>
      </c>
      <c r="G580" s="14" t="s">
        <v>111</v>
      </c>
      <c r="H580" s="14" t="s">
        <v>112</v>
      </c>
    </row>
    <row r="581" spans="1:8" ht="25.5" x14ac:dyDescent="0.2">
      <c r="A581" s="17">
        <v>498</v>
      </c>
      <c r="B581" s="16" t="s">
        <v>1401</v>
      </c>
      <c r="C581" s="17" t="s">
        <v>1402</v>
      </c>
      <c r="D581" s="17" t="s">
        <v>1403</v>
      </c>
      <c r="E581" s="17" t="s">
        <v>1324</v>
      </c>
      <c r="F581" s="17" t="s">
        <v>1404</v>
      </c>
      <c r="G581" s="14" t="s">
        <v>111</v>
      </c>
      <c r="H581" s="14" t="s">
        <v>112</v>
      </c>
    </row>
    <row r="582" spans="1:8" ht="63.75" x14ac:dyDescent="0.2">
      <c r="A582" s="17">
        <v>499</v>
      </c>
      <c r="B582" s="16" t="s">
        <v>1405</v>
      </c>
      <c r="C582" s="50" t="s">
        <v>1406</v>
      </c>
      <c r="D582" s="50" t="s">
        <v>1407</v>
      </c>
      <c r="E582" s="17" t="s">
        <v>1324</v>
      </c>
      <c r="F582" s="17" t="s">
        <v>1404</v>
      </c>
      <c r="G582" s="14" t="s">
        <v>111</v>
      </c>
      <c r="H582" s="14" t="s">
        <v>112</v>
      </c>
    </row>
    <row r="583" spans="1:8" ht="63.75" x14ac:dyDescent="0.2">
      <c r="A583" s="17">
        <v>500</v>
      </c>
      <c r="B583" s="16" t="s">
        <v>1408</v>
      </c>
      <c r="C583" s="50"/>
      <c r="D583" s="50"/>
      <c r="E583" s="17" t="s">
        <v>1324</v>
      </c>
      <c r="F583" s="17" t="s">
        <v>1404</v>
      </c>
      <c r="G583" s="14" t="s">
        <v>111</v>
      </c>
      <c r="H583" s="14" t="s">
        <v>112</v>
      </c>
    </row>
    <row r="584" spans="1:8" ht="63.75" x14ac:dyDescent="0.2">
      <c r="A584" s="17">
        <v>501</v>
      </c>
      <c r="B584" s="16" t="s">
        <v>1409</v>
      </c>
      <c r="C584" s="50"/>
      <c r="D584" s="50"/>
      <c r="E584" s="17" t="s">
        <v>1324</v>
      </c>
      <c r="F584" s="17" t="s">
        <v>1404</v>
      </c>
      <c r="G584" s="14" t="s">
        <v>111</v>
      </c>
      <c r="H584" s="14" t="s">
        <v>112</v>
      </c>
    </row>
    <row r="585" spans="1:8" ht="63.75" x14ac:dyDescent="0.2">
      <c r="A585" s="17">
        <v>502</v>
      </c>
      <c r="B585" s="16" t="s">
        <v>1410</v>
      </c>
      <c r="C585" s="50"/>
      <c r="D585" s="50"/>
      <c r="E585" s="17" t="s">
        <v>1324</v>
      </c>
      <c r="F585" s="17" t="s">
        <v>1404</v>
      </c>
      <c r="G585" s="14" t="s">
        <v>111</v>
      </c>
      <c r="H585" s="14" t="s">
        <v>112</v>
      </c>
    </row>
    <row r="586" spans="1:8" ht="30.75" customHeight="1" x14ac:dyDescent="0.2">
      <c r="A586" s="17">
        <v>503</v>
      </c>
      <c r="B586" s="16" t="s">
        <v>1411</v>
      </c>
      <c r="C586" s="50"/>
      <c r="D586" s="50"/>
      <c r="E586" s="17" t="s">
        <v>1324</v>
      </c>
      <c r="F586" s="17" t="s">
        <v>1404</v>
      </c>
      <c r="G586" s="14" t="s">
        <v>111</v>
      </c>
      <c r="H586" s="14" t="s">
        <v>112</v>
      </c>
    </row>
    <row r="587" spans="1:8" ht="49.5" customHeight="1" x14ac:dyDescent="0.2">
      <c r="A587" s="17">
        <v>504</v>
      </c>
      <c r="B587" s="16" t="s">
        <v>1412</v>
      </c>
      <c r="C587" s="17" t="s">
        <v>1413</v>
      </c>
      <c r="D587" s="17" t="s">
        <v>1414</v>
      </c>
      <c r="E587" s="17" t="s">
        <v>1324</v>
      </c>
      <c r="F587" s="17" t="s">
        <v>1404</v>
      </c>
      <c r="G587" s="14" t="s">
        <v>111</v>
      </c>
      <c r="H587" s="14" t="s">
        <v>112</v>
      </c>
    </row>
    <row r="588" spans="1:8" ht="25.5" x14ac:dyDescent="0.2">
      <c r="A588" s="17">
        <v>505</v>
      </c>
      <c r="B588" s="16" t="s">
        <v>1415</v>
      </c>
      <c r="C588" s="50" t="s">
        <v>1416</v>
      </c>
      <c r="D588" s="50" t="s">
        <v>1417</v>
      </c>
      <c r="E588" s="17" t="s">
        <v>1324</v>
      </c>
      <c r="F588" s="17" t="s">
        <v>1404</v>
      </c>
      <c r="G588" s="14" t="s">
        <v>111</v>
      </c>
      <c r="H588" s="14" t="s">
        <v>112</v>
      </c>
    </row>
    <row r="589" spans="1:8" ht="25.5" x14ac:dyDescent="0.2">
      <c r="A589" s="17">
        <v>506</v>
      </c>
      <c r="B589" s="16" t="s">
        <v>1418</v>
      </c>
      <c r="C589" s="50"/>
      <c r="D589" s="50"/>
      <c r="E589" s="17" t="s">
        <v>1324</v>
      </c>
      <c r="F589" s="17" t="s">
        <v>1404</v>
      </c>
      <c r="G589" s="14" t="s">
        <v>111</v>
      </c>
      <c r="H589" s="14" t="s">
        <v>112</v>
      </c>
    </row>
    <row r="590" spans="1:8" ht="25.5" x14ac:dyDescent="0.2">
      <c r="A590" s="17">
        <v>507</v>
      </c>
      <c r="B590" s="16" t="s">
        <v>1419</v>
      </c>
      <c r="C590" s="17" t="s">
        <v>1420</v>
      </c>
      <c r="D590" s="17" t="s">
        <v>1421</v>
      </c>
      <c r="E590" s="17" t="s">
        <v>1324</v>
      </c>
      <c r="F590" s="17" t="s">
        <v>1422</v>
      </c>
      <c r="G590" s="14" t="s">
        <v>111</v>
      </c>
      <c r="H590" s="14" t="s">
        <v>112</v>
      </c>
    </row>
    <row r="591" spans="1:8" ht="25.5" x14ac:dyDescent="0.2">
      <c r="A591" s="17">
        <v>508</v>
      </c>
      <c r="B591" s="16" t="s">
        <v>1423</v>
      </c>
      <c r="C591" s="17" t="s">
        <v>1424</v>
      </c>
      <c r="D591" s="17" t="s">
        <v>1425</v>
      </c>
      <c r="E591" s="17" t="s">
        <v>1324</v>
      </c>
      <c r="F591" s="17" t="s">
        <v>1422</v>
      </c>
      <c r="G591" s="14" t="s">
        <v>147</v>
      </c>
      <c r="H591" s="14" t="s">
        <v>112</v>
      </c>
    </row>
    <row r="592" spans="1:8" ht="30.75" customHeight="1" x14ac:dyDescent="0.2">
      <c r="A592" s="17">
        <v>509</v>
      </c>
      <c r="B592" s="16" t="s">
        <v>1426</v>
      </c>
      <c r="C592" s="50" t="s">
        <v>1427</v>
      </c>
      <c r="D592" s="50" t="s">
        <v>1427</v>
      </c>
      <c r="E592" s="17" t="s">
        <v>1324</v>
      </c>
      <c r="F592" s="17" t="s">
        <v>1422</v>
      </c>
      <c r="G592" s="14" t="s">
        <v>111</v>
      </c>
      <c r="H592" s="14" t="s">
        <v>112</v>
      </c>
    </row>
    <row r="593" spans="1:8" ht="30.75" customHeight="1" x14ac:dyDescent="0.2">
      <c r="A593" s="17">
        <v>510</v>
      </c>
      <c r="B593" s="16" t="s">
        <v>1428</v>
      </c>
      <c r="C593" s="50"/>
      <c r="D593" s="50"/>
      <c r="E593" s="17" t="s">
        <v>1324</v>
      </c>
      <c r="F593" s="17" t="s">
        <v>1422</v>
      </c>
      <c r="G593" s="14" t="s">
        <v>147</v>
      </c>
      <c r="H593" s="14" t="s">
        <v>112</v>
      </c>
    </row>
    <row r="594" spans="1:8" ht="30.75" customHeight="1" x14ac:dyDescent="0.2">
      <c r="A594" s="17">
        <v>511</v>
      </c>
      <c r="B594" s="16" t="s">
        <v>1429</v>
      </c>
      <c r="C594" s="50" t="s">
        <v>1430</v>
      </c>
      <c r="D594" s="50" t="s">
        <v>1431</v>
      </c>
      <c r="E594" s="17" t="s">
        <v>1324</v>
      </c>
      <c r="F594" s="17" t="s">
        <v>1422</v>
      </c>
      <c r="G594" s="14" t="s">
        <v>147</v>
      </c>
      <c r="H594" s="14" t="s">
        <v>112</v>
      </c>
    </row>
    <row r="595" spans="1:8" ht="30.75" customHeight="1" x14ac:dyDescent="0.2">
      <c r="A595" s="17">
        <v>512</v>
      </c>
      <c r="B595" s="16" t="s">
        <v>1432</v>
      </c>
      <c r="C595" s="50"/>
      <c r="D595" s="50"/>
      <c r="E595" s="17" t="s">
        <v>1324</v>
      </c>
      <c r="F595" s="17" t="s">
        <v>1422</v>
      </c>
      <c r="G595" s="14" t="s">
        <v>147</v>
      </c>
      <c r="H595" s="14" t="s">
        <v>112</v>
      </c>
    </row>
    <row r="596" spans="1:8" ht="38.25" x14ac:dyDescent="0.2">
      <c r="A596" s="17">
        <v>513</v>
      </c>
      <c r="B596" s="16" t="s">
        <v>1433</v>
      </c>
      <c r="C596" s="50"/>
      <c r="D596" s="50"/>
      <c r="E596" s="17" t="s">
        <v>1324</v>
      </c>
      <c r="F596" s="17" t="s">
        <v>1422</v>
      </c>
      <c r="G596" s="14" t="s">
        <v>111</v>
      </c>
      <c r="H596" s="14" t="s">
        <v>112</v>
      </c>
    </row>
    <row r="597" spans="1:8" ht="30.75" customHeight="1" x14ac:dyDescent="0.2">
      <c r="A597" s="13" t="s">
        <v>1434</v>
      </c>
      <c r="B597" s="9" t="s">
        <v>1435</v>
      </c>
      <c r="C597" s="8">
        <f>COUNTA(C598:C603)</f>
        <v>3</v>
      </c>
      <c r="D597" s="8"/>
      <c r="E597" s="8">
        <f>COUNTA(E598:E603)</f>
        <v>6</v>
      </c>
      <c r="F597" s="17"/>
      <c r="G597" s="14" t="s">
        <v>111</v>
      </c>
      <c r="H597" s="14" t="s">
        <v>112</v>
      </c>
    </row>
    <row r="598" spans="1:8" ht="30.75" customHeight="1" x14ac:dyDescent="0.2">
      <c r="A598" s="17">
        <v>514</v>
      </c>
      <c r="B598" s="16" t="s">
        <v>1436</v>
      </c>
      <c r="C598" s="50" t="s">
        <v>1437</v>
      </c>
      <c r="D598" s="50" t="s">
        <v>1438</v>
      </c>
      <c r="E598" s="17" t="s">
        <v>8</v>
      </c>
      <c r="F598" s="17" t="s">
        <v>1439</v>
      </c>
      <c r="G598" s="14" t="s">
        <v>111</v>
      </c>
      <c r="H598" s="14" t="s">
        <v>112</v>
      </c>
    </row>
    <row r="599" spans="1:8" ht="30.75" customHeight="1" x14ac:dyDescent="0.2">
      <c r="A599" s="17">
        <v>515</v>
      </c>
      <c r="B599" s="16" t="s">
        <v>1440</v>
      </c>
      <c r="C599" s="50"/>
      <c r="D599" s="50"/>
      <c r="E599" s="17" t="s">
        <v>8</v>
      </c>
      <c r="F599" s="17" t="s">
        <v>1439</v>
      </c>
      <c r="G599" s="14" t="s">
        <v>111</v>
      </c>
      <c r="H599" s="14" t="s">
        <v>112</v>
      </c>
    </row>
    <row r="600" spans="1:8" ht="30.75" customHeight="1" x14ac:dyDescent="0.2">
      <c r="A600" s="17">
        <v>516</v>
      </c>
      <c r="B600" s="16" t="s">
        <v>1441</v>
      </c>
      <c r="C600" s="50"/>
      <c r="D600" s="50"/>
      <c r="E600" s="17" t="s">
        <v>8</v>
      </c>
      <c r="F600" s="17" t="s">
        <v>1439</v>
      </c>
      <c r="G600" s="14" t="s">
        <v>111</v>
      </c>
      <c r="H600" s="14" t="s">
        <v>112</v>
      </c>
    </row>
    <row r="601" spans="1:8" ht="25.5" x14ac:dyDescent="0.2">
      <c r="A601" s="17">
        <v>517</v>
      </c>
      <c r="B601" s="16" t="s">
        <v>1442</v>
      </c>
      <c r="C601" s="17" t="s">
        <v>1443</v>
      </c>
      <c r="D601" s="17" t="s">
        <v>1444</v>
      </c>
      <c r="E601" s="17" t="s">
        <v>8</v>
      </c>
      <c r="F601" s="17" t="s">
        <v>1439</v>
      </c>
      <c r="G601" s="14" t="s">
        <v>353</v>
      </c>
      <c r="H601" s="14" t="s">
        <v>112</v>
      </c>
    </row>
    <row r="602" spans="1:8" ht="25.5" x14ac:dyDescent="0.2">
      <c r="A602" s="17">
        <v>518</v>
      </c>
      <c r="B602" s="16" t="s">
        <v>1445</v>
      </c>
      <c r="C602" s="50" t="s">
        <v>1446</v>
      </c>
      <c r="D602" s="50" t="s">
        <v>1447</v>
      </c>
      <c r="E602" s="17" t="s">
        <v>8</v>
      </c>
      <c r="F602" s="17" t="s">
        <v>1439</v>
      </c>
      <c r="G602" s="14" t="s">
        <v>111</v>
      </c>
      <c r="H602" s="14" t="s">
        <v>112</v>
      </c>
    </row>
    <row r="603" spans="1:8" ht="25.5" x14ac:dyDescent="0.2">
      <c r="A603" s="17">
        <v>519</v>
      </c>
      <c r="B603" s="16" t="s">
        <v>1448</v>
      </c>
      <c r="C603" s="50"/>
      <c r="D603" s="50"/>
      <c r="E603" s="17" t="s">
        <v>8</v>
      </c>
      <c r="F603" s="17" t="s">
        <v>1422</v>
      </c>
      <c r="G603" s="14" t="s">
        <v>111</v>
      </c>
      <c r="H603" s="14" t="s">
        <v>112</v>
      </c>
    </row>
    <row r="604" spans="1:8" ht="30.75" customHeight="1" x14ac:dyDescent="0.2">
      <c r="A604" s="13" t="s">
        <v>1449</v>
      </c>
      <c r="B604" s="9" t="s">
        <v>1450</v>
      </c>
      <c r="C604" s="8">
        <f>COUNTA(C605:C617)</f>
        <v>4</v>
      </c>
      <c r="D604" s="8"/>
      <c r="E604" s="8">
        <f>COUNTA(E605:E617)</f>
        <v>13</v>
      </c>
      <c r="F604" s="17"/>
      <c r="G604" s="14" t="s">
        <v>111</v>
      </c>
      <c r="H604" s="14" t="s">
        <v>112</v>
      </c>
    </row>
    <row r="605" spans="1:8" ht="31.5" customHeight="1" x14ac:dyDescent="0.2">
      <c r="A605" s="17">
        <v>520</v>
      </c>
      <c r="B605" s="16" t="s">
        <v>1451</v>
      </c>
      <c r="C605" s="50" t="s">
        <v>1452</v>
      </c>
      <c r="D605" s="50" t="s">
        <v>1453</v>
      </c>
      <c r="E605" s="17" t="s">
        <v>8</v>
      </c>
      <c r="F605" s="17" t="s">
        <v>1454</v>
      </c>
      <c r="G605" s="14" t="s">
        <v>111</v>
      </c>
      <c r="H605" s="14" t="s">
        <v>112</v>
      </c>
    </row>
    <row r="606" spans="1:8" ht="30.75" customHeight="1" x14ac:dyDescent="0.2">
      <c r="A606" s="17">
        <v>521</v>
      </c>
      <c r="B606" s="16" t="s">
        <v>1455</v>
      </c>
      <c r="C606" s="50"/>
      <c r="D606" s="50"/>
      <c r="E606" s="17" t="s">
        <v>8</v>
      </c>
      <c r="F606" s="17" t="s">
        <v>1439</v>
      </c>
      <c r="G606" s="14" t="s">
        <v>111</v>
      </c>
      <c r="H606" s="14" t="s">
        <v>112</v>
      </c>
    </row>
    <row r="607" spans="1:8" ht="30.75" customHeight="1" x14ac:dyDescent="0.2">
      <c r="A607" s="17">
        <v>522</v>
      </c>
      <c r="B607" s="16" t="s">
        <v>1456</v>
      </c>
      <c r="C607" s="50"/>
      <c r="D607" s="50"/>
      <c r="E607" s="17" t="s">
        <v>8</v>
      </c>
      <c r="F607" s="17" t="s">
        <v>1439</v>
      </c>
      <c r="G607" s="14" t="s">
        <v>111</v>
      </c>
      <c r="H607" s="14" t="s">
        <v>112</v>
      </c>
    </row>
    <row r="608" spans="1:8" ht="30.75" customHeight="1" x14ac:dyDescent="0.2">
      <c r="A608" s="17">
        <v>523</v>
      </c>
      <c r="B608" s="16" t="s">
        <v>1457</v>
      </c>
      <c r="C608" s="50"/>
      <c r="D608" s="50"/>
      <c r="E608" s="17" t="s">
        <v>8</v>
      </c>
      <c r="F608" s="17" t="s">
        <v>1439</v>
      </c>
      <c r="G608" s="14" t="s">
        <v>111</v>
      </c>
      <c r="H608" s="14" t="s">
        <v>112</v>
      </c>
    </row>
    <row r="609" spans="1:8" ht="30.75" customHeight="1" x14ac:dyDescent="0.2">
      <c r="A609" s="17">
        <v>524</v>
      </c>
      <c r="B609" s="16" t="s">
        <v>1458</v>
      </c>
      <c r="C609" s="50"/>
      <c r="D609" s="50"/>
      <c r="E609" s="17" t="s">
        <v>8</v>
      </c>
      <c r="F609" s="17" t="s">
        <v>1439</v>
      </c>
      <c r="G609" s="14" t="s">
        <v>111</v>
      </c>
      <c r="H609" s="14" t="s">
        <v>112</v>
      </c>
    </row>
    <row r="610" spans="1:8" ht="30.75" customHeight="1" x14ac:dyDescent="0.2">
      <c r="A610" s="17">
        <v>525</v>
      </c>
      <c r="B610" s="16" t="s">
        <v>1459</v>
      </c>
      <c r="C610" s="50" t="s">
        <v>1460</v>
      </c>
      <c r="D610" s="50" t="s">
        <v>1461</v>
      </c>
      <c r="E610" s="17" t="s">
        <v>8</v>
      </c>
      <c r="F610" s="17" t="s">
        <v>1462</v>
      </c>
      <c r="G610" s="14" t="s">
        <v>147</v>
      </c>
      <c r="H610" s="14" t="s">
        <v>112</v>
      </c>
    </row>
    <row r="611" spans="1:8" ht="30.75" customHeight="1" x14ac:dyDescent="0.2">
      <c r="A611" s="17">
        <v>526</v>
      </c>
      <c r="B611" s="16" t="s">
        <v>1463</v>
      </c>
      <c r="C611" s="50"/>
      <c r="D611" s="50"/>
      <c r="E611" s="17" t="s">
        <v>8</v>
      </c>
      <c r="F611" s="17" t="s">
        <v>1462</v>
      </c>
      <c r="G611" s="14" t="s">
        <v>111</v>
      </c>
      <c r="H611" s="14" t="s">
        <v>112</v>
      </c>
    </row>
    <row r="612" spans="1:8" ht="30.75" customHeight="1" x14ac:dyDescent="0.2">
      <c r="A612" s="17">
        <v>527</v>
      </c>
      <c r="B612" s="16" t="s">
        <v>1464</v>
      </c>
      <c r="C612" s="50"/>
      <c r="D612" s="50"/>
      <c r="E612" s="17" t="s">
        <v>8</v>
      </c>
      <c r="F612" s="17" t="s">
        <v>1462</v>
      </c>
      <c r="G612" s="14" t="s">
        <v>111</v>
      </c>
      <c r="H612" s="14" t="s">
        <v>112</v>
      </c>
    </row>
    <row r="613" spans="1:8" ht="30.75" customHeight="1" x14ac:dyDescent="0.2">
      <c r="A613" s="17">
        <v>528</v>
      </c>
      <c r="B613" s="16" t="s">
        <v>1465</v>
      </c>
      <c r="C613" s="50"/>
      <c r="D613" s="50"/>
      <c r="E613" s="17" t="s">
        <v>8</v>
      </c>
      <c r="F613" s="17" t="s">
        <v>1462</v>
      </c>
      <c r="G613" s="14" t="s">
        <v>111</v>
      </c>
      <c r="H613" s="14" t="s">
        <v>112</v>
      </c>
    </row>
    <row r="614" spans="1:8" ht="25.5" x14ac:dyDescent="0.2">
      <c r="A614" s="17">
        <v>529</v>
      </c>
      <c r="B614" s="16" t="s">
        <v>1466</v>
      </c>
      <c r="C614" s="50"/>
      <c r="D614" s="50"/>
      <c r="E614" s="17" t="s">
        <v>8</v>
      </c>
      <c r="F614" s="17" t="s">
        <v>1439</v>
      </c>
      <c r="G614" s="14" t="s">
        <v>147</v>
      </c>
      <c r="H614" s="14" t="s">
        <v>112</v>
      </c>
    </row>
    <row r="615" spans="1:8" ht="25.5" x14ac:dyDescent="0.2">
      <c r="A615" s="17">
        <v>530</v>
      </c>
      <c r="B615" s="16" t="s">
        <v>1091</v>
      </c>
      <c r="C615" s="50"/>
      <c r="D615" s="50"/>
      <c r="E615" s="17" t="s">
        <v>8</v>
      </c>
      <c r="F615" s="17" t="s">
        <v>1439</v>
      </c>
      <c r="G615" s="14" t="s">
        <v>147</v>
      </c>
      <c r="H615" s="14" t="s">
        <v>112</v>
      </c>
    </row>
    <row r="616" spans="1:8" ht="38.25" x14ac:dyDescent="0.2">
      <c r="A616" s="17">
        <v>531</v>
      </c>
      <c r="B616" s="16" t="s">
        <v>1467</v>
      </c>
      <c r="C616" s="17" t="s">
        <v>1468</v>
      </c>
      <c r="D616" s="17" t="s">
        <v>1469</v>
      </c>
      <c r="E616" s="17" t="s">
        <v>8</v>
      </c>
      <c r="F616" s="17" t="s">
        <v>1462</v>
      </c>
      <c r="G616" s="14" t="s">
        <v>353</v>
      </c>
      <c r="H616" s="14" t="s">
        <v>112</v>
      </c>
    </row>
    <row r="617" spans="1:8" ht="25.5" x14ac:dyDescent="0.2">
      <c r="A617" s="17">
        <v>532</v>
      </c>
      <c r="B617" s="16" t="s">
        <v>1470</v>
      </c>
      <c r="C617" s="17" t="s">
        <v>1471</v>
      </c>
      <c r="D617" s="17" t="s">
        <v>1472</v>
      </c>
      <c r="E617" s="17" t="s">
        <v>8</v>
      </c>
      <c r="F617" s="17" t="s">
        <v>1439</v>
      </c>
      <c r="G617" s="14" t="s">
        <v>111</v>
      </c>
      <c r="H617" s="14" t="s">
        <v>112</v>
      </c>
    </row>
    <row r="618" spans="1:8" ht="47.25" customHeight="1" x14ac:dyDescent="0.2">
      <c r="A618" s="13" t="s">
        <v>1473</v>
      </c>
      <c r="B618" s="9" t="s">
        <v>95</v>
      </c>
      <c r="C618" s="8">
        <f>COUNTA(C619)</f>
        <v>1</v>
      </c>
      <c r="D618" s="17"/>
      <c r="E618" s="8">
        <f>COUNTA(E619)</f>
        <v>1</v>
      </c>
      <c r="F618" s="17"/>
      <c r="G618" s="14" t="s">
        <v>111</v>
      </c>
      <c r="H618" s="14" t="s">
        <v>112</v>
      </c>
    </row>
    <row r="619" spans="1:8" ht="25.5" x14ac:dyDescent="0.2">
      <c r="A619" s="14">
        <v>533</v>
      </c>
      <c r="B619" s="16" t="s">
        <v>1474</v>
      </c>
      <c r="C619" s="17" t="s">
        <v>1475</v>
      </c>
      <c r="D619" s="17" t="s">
        <v>1476</v>
      </c>
      <c r="E619" s="14" t="s">
        <v>8</v>
      </c>
      <c r="F619" s="17" t="s">
        <v>813</v>
      </c>
      <c r="G619" s="14" t="s">
        <v>111</v>
      </c>
      <c r="H619" s="14" t="s">
        <v>112</v>
      </c>
    </row>
    <row r="620" spans="1:8" ht="50.25" customHeight="1" x14ac:dyDescent="0.2">
      <c r="A620" s="13" t="s">
        <v>1477</v>
      </c>
      <c r="B620" s="9" t="s">
        <v>96</v>
      </c>
      <c r="C620" s="8">
        <f>COUNTA(C621)</f>
        <v>1</v>
      </c>
      <c r="D620" s="17"/>
      <c r="E620" s="8">
        <f>COUNTA(E621)</f>
        <v>1</v>
      </c>
      <c r="F620" s="17"/>
      <c r="G620" s="14" t="s">
        <v>111</v>
      </c>
      <c r="H620" s="14" t="s">
        <v>112</v>
      </c>
    </row>
    <row r="621" spans="1:8" ht="25.5" x14ac:dyDescent="0.2">
      <c r="A621" s="14">
        <v>534</v>
      </c>
      <c r="B621" s="16" t="s">
        <v>1478</v>
      </c>
      <c r="C621" s="17" t="s">
        <v>1479</v>
      </c>
      <c r="D621" s="17" t="s">
        <v>1480</v>
      </c>
      <c r="E621" s="17" t="s">
        <v>8</v>
      </c>
      <c r="F621" s="17" t="s">
        <v>1208</v>
      </c>
      <c r="G621" s="14" t="s">
        <v>111</v>
      </c>
      <c r="H621" s="14" t="s">
        <v>112</v>
      </c>
    </row>
    <row r="622" spans="1:8" ht="38.25" x14ac:dyDescent="0.2">
      <c r="A622" s="14">
        <v>535</v>
      </c>
      <c r="B622" s="16" t="s">
        <v>1478</v>
      </c>
      <c r="C622" s="17" t="s">
        <v>1481</v>
      </c>
      <c r="D622" s="17" t="s">
        <v>1482</v>
      </c>
      <c r="E622" s="17" t="s">
        <v>8</v>
      </c>
      <c r="F622" s="17" t="s">
        <v>1208</v>
      </c>
      <c r="G622" s="14" t="s">
        <v>111</v>
      </c>
      <c r="H622" s="14" t="s">
        <v>112</v>
      </c>
    </row>
    <row r="623" spans="1:8" ht="30.75" customHeight="1" x14ac:dyDescent="0.2">
      <c r="A623" s="7"/>
      <c r="B623" s="7"/>
      <c r="F623" s="7"/>
    </row>
  </sheetData>
  <mergeCells count="225">
    <mergeCell ref="A1:H2"/>
    <mergeCell ref="C5:C8"/>
    <mergeCell ref="D5:D8"/>
    <mergeCell ref="C9:C10"/>
    <mergeCell ref="D9:D10"/>
    <mergeCell ref="C11:C12"/>
    <mergeCell ref="D11:D12"/>
    <mergeCell ref="C37:C38"/>
    <mergeCell ref="D37:D38"/>
    <mergeCell ref="C40:C42"/>
    <mergeCell ref="D40:D42"/>
    <mergeCell ref="C44:C45"/>
    <mergeCell ref="D44:D45"/>
    <mergeCell ref="C13:C21"/>
    <mergeCell ref="D13:D21"/>
    <mergeCell ref="C22:C28"/>
    <mergeCell ref="D22:D28"/>
    <mergeCell ref="C29:C33"/>
    <mergeCell ref="D29:D33"/>
    <mergeCell ref="C64:C65"/>
    <mergeCell ref="D64:D65"/>
    <mergeCell ref="C67:C68"/>
    <mergeCell ref="D67:D68"/>
    <mergeCell ref="C69:C73"/>
    <mergeCell ref="D69:D73"/>
    <mergeCell ref="C51:C52"/>
    <mergeCell ref="D51:D52"/>
    <mergeCell ref="C53:C54"/>
    <mergeCell ref="D53:D54"/>
    <mergeCell ref="C57:C63"/>
    <mergeCell ref="D57:D63"/>
    <mergeCell ref="C99:C103"/>
    <mergeCell ref="D99:D103"/>
    <mergeCell ref="C104:C106"/>
    <mergeCell ref="D104:D106"/>
    <mergeCell ref="C108:C110"/>
    <mergeCell ref="D108:D110"/>
    <mergeCell ref="C76:C77"/>
    <mergeCell ref="D76:D77"/>
    <mergeCell ref="C88:C89"/>
    <mergeCell ref="D88:D89"/>
    <mergeCell ref="C90:C91"/>
    <mergeCell ref="D90:D91"/>
    <mergeCell ref="C130:C131"/>
    <mergeCell ref="D130:D131"/>
    <mergeCell ref="C144:C145"/>
    <mergeCell ref="D144:D145"/>
    <mergeCell ref="C147:C149"/>
    <mergeCell ref="D147:D149"/>
    <mergeCell ref="C115:C117"/>
    <mergeCell ref="D115:D117"/>
    <mergeCell ref="C118:C119"/>
    <mergeCell ref="D118:D119"/>
    <mergeCell ref="C126:C127"/>
    <mergeCell ref="D126:D127"/>
    <mergeCell ref="C181:C182"/>
    <mergeCell ref="D181:D182"/>
    <mergeCell ref="C183:C185"/>
    <mergeCell ref="D183:D185"/>
    <mergeCell ref="C187:C189"/>
    <mergeCell ref="D187:D189"/>
    <mergeCell ref="C151:C152"/>
    <mergeCell ref="D151:D152"/>
    <mergeCell ref="C163:C164"/>
    <mergeCell ref="D163:D164"/>
    <mergeCell ref="C168:C174"/>
    <mergeCell ref="D168:D174"/>
    <mergeCell ref="C206:C207"/>
    <mergeCell ref="D206:D207"/>
    <mergeCell ref="C209:C210"/>
    <mergeCell ref="D209:D210"/>
    <mergeCell ref="C212:C213"/>
    <mergeCell ref="D212:D213"/>
    <mergeCell ref="C195:C198"/>
    <mergeCell ref="D195:D198"/>
    <mergeCell ref="C200:C201"/>
    <mergeCell ref="D200:D201"/>
    <mergeCell ref="C203:C204"/>
    <mergeCell ref="D203:D204"/>
    <mergeCell ref="C228:C229"/>
    <mergeCell ref="D228:D229"/>
    <mergeCell ref="C232:C234"/>
    <mergeCell ref="D232:D234"/>
    <mergeCell ref="C240:C247"/>
    <mergeCell ref="D240:D247"/>
    <mergeCell ref="C214:C216"/>
    <mergeCell ref="D214:D216"/>
    <mergeCell ref="C217:C218"/>
    <mergeCell ref="D217:D218"/>
    <mergeCell ref="C223:C224"/>
    <mergeCell ref="D223:D224"/>
    <mergeCell ref="C266:C271"/>
    <mergeCell ref="D266:D271"/>
    <mergeCell ref="C273:C274"/>
    <mergeCell ref="D273:D274"/>
    <mergeCell ref="C277:C278"/>
    <mergeCell ref="D277:D278"/>
    <mergeCell ref="C250:C252"/>
    <mergeCell ref="D250:D252"/>
    <mergeCell ref="C258:C259"/>
    <mergeCell ref="D258:D259"/>
    <mergeCell ref="C260:C261"/>
    <mergeCell ref="D260:D261"/>
    <mergeCell ref="C289:C291"/>
    <mergeCell ref="D289:D292"/>
    <mergeCell ref="C293:C296"/>
    <mergeCell ref="D293:D296"/>
    <mergeCell ref="C297:C304"/>
    <mergeCell ref="D297:D304"/>
    <mergeCell ref="C279:C280"/>
    <mergeCell ref="D279:D280"/>
    <mergeCell ref="C281:C282"/>
    <mergeCell ref="D281:D282"/>
    <mergeCell ref="C286:C288"/>
    <mergeCell ref="D286:D288"/>
    <mergeCell ref="C320:C321"/>
    <mergeCell ref="D320:D321"/>
    <mergeCell ref="C324:C325"/>
    <mergeCell ref="D324:D325"/>
    <mergeCell ref="C331:C332"/>
    <mergeCell ref="D331:D332"/>
    <mergeCell ref="C306:C307"/>
    <mergeCell ref="D306:D307"/>
    <mergeCell ref="C308:C309"/>
    <mergeCell ref="D308:D309"/>
    <mergeCell ref="C315:C316"/>
    <mergeCell ref="D315:D316"/>
    <mergeCell ref="C357:C358"/>
    <mergeCell ref="D357:D358"/>
    <mergeCell ref="C359:C360"/>
    <mergeCell ref="D359:D360"/>
    <mergeCell ref="C361:C362"/>
    <mergeCell ref="D361:D362"/>
    <mergeCell ref="C333:C339"/>
    <mergeCell ref="D333:D339"/>
    <mergeCell ref="C343:C344"/>
    <mergeCell ref="D343:D344"/>
    <mergeCell ref="C346:C347"/>
    <mergeCell ref="D346:D347"/>
    <mergeCell ref="C391:C392"/>
    <mergeCell ref="D391:D392"/>
    <mergeCell ref="C393:C394"/>
    <mergeCell ref="D393:D394"/>
    <mergeCell ref="C396:C397"/>
    <mergeCell ref="D396:D397"/>
    <mergeCell ref="C363:C364"/>
    <mergeCell ref="D363:D364"/>
    <mergeCell ref="C370:C372"/>
    <mergeCell ref="D370:D372"/>
    <mergeCell ref="C381:C382"/>
    <mergeCell ref="D381:D382"/>
    <mergeCell ref="C416:C424"/>
    <mergeCell ref="D416:D424"/>
    <mergeCell ref="C429:C430"/>
    <mergeCell ref="D429:D430"/>
    <mergeCell ref="C433:C436"/>
    <mergeCell ref="D433:D436"/>
    <mergeCell ref="C398:C400"/>
    <mergeCell ref="D398:D400"/>
    <mergeCell ref="C401:C405"/>
    <mergeCell ref="D401:D405"/>
    <mergeCell ref="C411:C412"/>
    <mergeCell ref="D411:D412"/>
    <mergeCell ref="C453:C463"/>
    <mergeCell ref="D453:D463"/>
    <mergeCell ref="C469:C470"/>
    <mergeCell ref="D469:D470"/>
    <mergeCell ref="C478:C480"/>
    <mergeCell ref="D478:D480"/>
    <mergeCell ref="C438:C442"/>
    <mergeCell ref="D438:D442"/>
    <mergeCell ref="C444:C445"/>
    <mergeCell ref="D444:D445"/>
    <mergeCell ref="C448:C452"/>
    <mergeCell ref="D448:D452"/>
    <mergeCell ref="C511:C512"/>
    <mergeCell ref="D511:D512"/>
    <mergeCell ref="C514:C515"/>
    <mergeCell ref="D514:D515"/>
    <mergeCell ref="C518:C520"/>
    <mergeCell ref="D518:D520"/>
    <mergeCell ref="C485:C486"/>
    <mergeCell ref="D485:D486"/>
    <mergeCell ref="C497:C498"/>
    <mergeCell ref="D497:D498"/>
    <mergeCell ref="C504:C509"/>
    <mergeCell ref="D504:D509"/>
    <mergeCell ref="C536:C537"/>
    <mergeCell ref="D536:D537"/>
    <mergeCell ref="C541:C542"/>
    <mergeCell ref="D541:D542"/>
    <mergeCell ref="C548:C550"/>
    <mergeCell ref="D548:D550"/>
    <mergeCell ref="C522:C523"/>
    <mergeCell ref="D522:D523"/>
    <mergeCell ref="C526:C529"/>
    <mergeCell ref="D526:D529"/>
    <mergeCell ref="C530:C535"/>
    <mergeCell ref="D530:D535"/>
    <mergeCell ref="C575:C576"/>
    <mergeCell ref="D575:D576"/>
    <mergeCell ref="C577:C578"/>
    <mergeCell ref="D577:D578"/>
    <mergeCell ref="C582:C586"/>
    <mergeCell ref="D582:D586"/>
    <mergeCell ref="C554:C555"/>
    <mergeCell ref="D554:D555"/>
    <mergeCell ref="C557:C569"/>
    <mergeCell ref="D557:D569"/>
    <mergeCell ref="C570:C574"/>
    <mergeCell ref="D570:D574"/>
    <mergeCell ref="C610:C615"/>
    <mergeCell ref="D610:D615"/>
    <mergeCell ref="C598:C600"/>
    <mergeCell ref="D598:D600"/>
    <mergeCell ref="C602:C603"/>
    <mergeCell ref="D602:D603"/>
    <mergeCell ref="C605:C609"/>
    <mergeCell ref="D605:D609"/>
    <mergeCell ref="C588:C589"/>
    <mergeCell ref="D588:D589"/>
    <mergeCell ref="C592:C593"/>
    <mergeCell ref="D592:D593"/>
    <mergeCell ref="C594:C596"/>
    <mergeCell ref="D594:D596"/>
  </mergeCells>
  <conditionalFormatting sqref="A493:A502">
    <cfRule type="expression" dxfId="2" priority="3">
      <formula>#REF!</formula>
    </cfRule>
  </conditionalFormatting>
  <conditionalFormatting sqref="E99:E103">
    <cfRule type="expression" dxfId="1" priority="2">
      <formula>#REF!</formula>
    </cfRule>
  </conditionalFormatting>
  <conditionalFormatting sqref="A621:A622">
    <cfRule type="expression" dxfId="0" priority="1">
      <formula>#REF!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thống kê 535</vt:lpstr>
      <vt:lpstr>535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Quang Tùng Lê</cp:lastModifiedBy>
  <dcterms:created xsi:type="dcterms:W3CDTF">2026-07-08T07:29:15Z</dcterms:created>
  <dcterms:modified xsi:type="dcterms:W3CDTF">2026-10-18T15:23:04Z</dcterms:modified>
</cp:coreProperties>
</file>